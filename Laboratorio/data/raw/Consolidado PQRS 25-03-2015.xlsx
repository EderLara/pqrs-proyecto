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defaultThemeVersion="124226"/>
  <mc:AlternateContent xmlns:mc="http://schemas.openxmlformats.org/markup-compatibility/2006">
    <mc:Choice Requires="x15">
      <x15ac:absPath xmlns:x15ac="http://schemas.microsoft.com/office/spreadsheetml/2010/11/ac" url="/Users/fernandocortes/Documents/Talento Tech U de A UPB/Proyecto IA en la gestión social/"/>
    </mc:Choice>
  </mc:AlternateContent>
  <xr:revisionPtr revIDLastSave="0" documentId="8_{30C2B47D-3728-8A42-93D7-0268C79AA9E8}" xr6:coauthVersionLast="47" xr6:coauthVersionMax="47" xr10:uidLastSave="{00000000-0000-0000-0000-000000000000}"/>
  <bookViews>
    <workbookView xWindow="4340" yWindow="500" windowWidth="24620" windowHeight="12820" tabRatio="727" xr2:uid="{00000000-000D-0000-FFFF-FFFF00000000}"/>
  </bookViews>
  <sheets>
    <sheet name="Consolidado" sheetId="1" r:id="rId1"/>
  </sheets>
  <definedNames>
    <definedName name="_xlnm._FilterDatabase" localSheetId="0" hidden="1">Consolidado!$A$1:$AK$183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H182" i="1" l="1"/>
  <c r="AH183" i="1"/>
  <c r="AH180" i="1" l="1"/>
  <c r="AH181" i="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2" i="1"/>
  <c r="AH177" i="1" l="1"/>
  <c r="AH178" i="1"/>
  <c r="AH179" i="1"/>
  <c r="AH3" i="1" l="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2" i="1"/>
  <c r="AM141" i="1" l="1"/>
</calcChain>
</file>

<file path=xl/sharedStrings.xml><?xml version="1.0" encoding="utf-8"?>
<sst xmlns="http://schemas.openxmlformats.org/spreadsheetml/2006/main" count="2736" uniqueCount="1011">
  <si>
    <t>PQRS No.</t>
  </si>
  <si>
    <t>FECHA</t>
  </si>
  <si>
    <t>SUBREGION</t>
  </si>
  <si>
    <t>MUNICIPIO</t>
  </si>
  <si>
    <t>VIA</t>
  </si>
  <si>
    <t>TIPO DE VIA</t>
  </si>
  <si>
    <t>NOMBRE PERSONA QUE INTERPONE LA PQRS</t>
  </si>
  <si>
    <t>IDENTIFICACION</t>
  </si>
  <si>
    <t>TIPOS DE HECHO</t>
  </si>
  <si>
    <t>DESCRIPCION DEL HECHO</t>
  </si>
  <si>
    <t>ENTIDAD RESPONSABLE</t>
  </si>
  <si>
    <t>REMITIDA POR LA SIF A:</t>
  </si>
  <si>
    <t>FECHA INICIO TRÁMITE</t>
  </si>
  <si>
    <t>FECHA DE LA RESPUESTA</t>
  </si>
  <si>
    <t>FECHA DE CIERRE (SI ES RESUELTA)</t>
  </si>
  <si>
    <t>NORDESTE</t>
  </si>
  <si>
    <t>AMALFI</t>
  </si>
  <si>
    <t>El Mango - Amalfi</t>
  </si>
  <si>
    <t>Secundaria</t>
  </si>
  <si>
    <t>YAKELINE RUIZ PALACIO</t>
  </si>
  <si>
    <t>Seguridad</t>
  </si>
  <si>
    <t>PETICION: ADECUACION DE RESALTOS EN LA ZONA DONDE SE ENCUENTRA LA INSTITUCION EDUCATIVA RURAL MATIAS TRUJILLO, YA QUE ESTA SOBRE UNA RECTA SOBRE LA CUAL LOS VEHICULOS TIENEN LA OPORTUNIDAD DE AUMENTAR SU VELOCIDAD, LO CUAL PUEDE OCASIONAR ACCIDENTES ENTRE LOS ESTUDIANTES.</t>
  </si>
  <si>
    <t>SIF</t>
  </si>
  <si>
    <t/>
  </si>
  <si>
    <t>OCCIDENTE</t>
  </si>
  <si>
    <t>OLAYA</t>
  </si>
  <si>
    <t>Santa Fe de Antioquia - Puente de Occidente - La Ye (Sopetrán)</t>
  </si>
  <si>
    <t>JORGE MARIO MENA PARRA</t>
  </si>
  <si>
    <t>LA PERSONERIA DE OLAYA EN REPRESENTACION DEL SR. JORGE MARIO MENA PARRA (NUEVO PERSONERO) SOLICITA AL COTRATISTA GISAICO S.A ATENDER EL TEMA DE ILUMINACION DEL PUENTE DE OCCIDENTE, DADO QUE SE ESTAN GENERANDO INCONVENIENTES CON LA SEGURIDAD PARA TRANSITAR EL MISMO. ANTERIORMENTE SE CONTABA CON REFLECTORES, HOY EN DIA NO SE CUENNTAN CON ELLOS.
POR OTRO LADO ES IMPORTANTE LA "INCLUSION" DE PERSONAS EN SITUACION O CONDICION DE DISCAPACIDAD, YA QUE NO SE CUENTA CON LA FACILIDAD DE ACCESO PARA ELLOS AL PUENTE.</t>
  </si>
  <si>
    <t>Contratista</t>
  </si>
  <si>
    <t>ANA ISABEL GONZALEZ</t>
  </si>
  <si>
    <t>SE RECIBE PQRS, POR PARTE DE LA SEÑORA ANA ISABEL GONZALEZ PRESIDENTA DE ASOCOMUNAL DEL MUNICIPIO DE OLAYA - VEREDA QUEBRADA SECA CON LAS SIGIENTES CARACTERISTICAS.
1. ILUMINACION PUENTE DE OCCIDENTE, EN LA ACTUALIDAD SE ENCUETRA SI ILUMINACION, OCASIOANANDO INSEGURIDAD A LOS TRANSEUNTES EN LA NOCHE, ANTERIORMENTE EL PUENTE CONTABA CON ILUMINACION DE REFLECTORES, LOS CUALES NO ESTAN FUNCIONANDO DESDE QUE ESTAN LOS CONTRATISTAS.
2. REALIZAR VEEDURIA E INTERVENTORIA A LA OBRA DEL PUENTE:
. LAS TABLAS DEL PUENTE ESTAN DESNIVELADAS.
. LOS PASAMANOS QUEDARON MAL CEPILLADOS, SIN PULIR (3 PERSONAS SE HAN CLAVADO ASTILLAS).
. ALGUNAS TABLAS TRATAN DE UNDIRSE AL PISAR. 
. LA MALLA DE LOS LATERALES NO ESTAN PULIDAS EN ALGUNOS LADOS (LA ROPA SE QUEDA CLAVADA EN ELLA).
3. SE SOLICITA CONSTRUCCION DE CUNETAS EN LA VIA PUENTE DE OCCIDENTE - OLAYA - LA Y,  A LA ALTURA  DEL CRUCE DE LA VIA DE LA QUEBRADA SECA.</t>
  </si>
  <si>
    <t>SOPETRÁN</t>
  </si>
  <si>
    <t>Puente de Occidente - Olaya -Liborina</t>
  </si>
  <si>
    <t>SOR ELENA CRESPO</t>
  </si>
  <si>
    <t>SE RECIBE PQRS POR PARTE DE LA SEÑORA SOE ELENA CRESPO, QUIEN SOLICITA CONSTRUCCION DE ESCALA PARA ACCESO A SU CASA, PUES EL ESPACIO QUE HAY DE LA ULTIA ESCALA A LA CALLE ES MUY ALTA, Y LAS PERSONAS CORREN PELIGRO DE CAER, EN ESPECIAL LAS PERSONAS DE EDAD AVANZADA, YA QUE LES TOCA DAR UN PASO LARGO, OCASIONANAOD ESTO ALUGUNA DIFICULTAD PARA ELLOS.</t>
  </si>
  <si>
    <t>CUAL ENTIDAD</t>
  </si>
  <si>
    <t>1 al 8 de Septiembre</t>
  </si>
  <si>
    <t>SEMANA</t>
  </si>
  <si>
    <t>9 al 15 de Septiembre</t>
  </si>
  <si>
    <t>REMEDIOS</t>
  </si>
  <si>
    <t>La Ye - Remedios</t>
  </si>
  <si>
    <t>HERNAN ALONSO ROLDAN</t>
  </si>
  <si>
    <t>Ingeniería de la obra</t>
  </si>
  <si>
    <t>LA COMUNIDAD SE ENCUENTRA PREOCUPADA PORQUE EN LA VIA LA Y - REMEDIOS, ESPECIFICAMENTE EN EL TRAMO LA Y - CHORRO E LAGRIMAS, LA EMPRESA OCENSA SOLO INTERVENDRA CON COLOCACION DE AFIRMADO EN ALGUNOS PUNTOS CRITICOS. LA PREOCUPACION RADICA EN QUE SI BIEN LA EMPRESA OCENSA INTERVIENE LA VIA POR RESPONSABILIDAD EMPRESARIAL, EL CONSORCIO INFRAME YA SE RETIRO DE LA VIA ADUCIENDOLE A LA COMUNIDAD QUE OCENSA TERMINARIA LAS OBRAS COMPLETAS Y EN REALIDAD A LA VIA LE QUEDARA FALTANDO LA CONSTRUCCION DE CUNETAS Y DE ALCANTARILLAS Y LA LIMPIEZA DE LAS YA EXISTENTES.</t>
  </si>
  <si>
    <t>SUROESTE</t>
  </si>
  <si>
    <t>JERICÓ</t>
  </si>
  <si>
    <t>Jamaica (Ruta 25B01) - Canaán - Jericó</t>
  </si>
  <si>
    <t>HERNANDO AUGUSTO CHAVERRA</t>
  </si>
  <si>
    <t>EN LA Y QUE HAY EN LA ESCUELA GUACAMAYAL, FALTAN RESALTOS Y SEÑALIZACION, QUE SIN ESTOS SE PUEDEN PRODUCIR ACCIDENTES, PUESTO QUE ESTE LUGAR ESTA SOBRE UNA CURVA MUY CERRADA Y PELIGROSA.</t>
  </si>
  <si>
    <t>BETANIA</t>
  </si>
  <si>
    <t>Betania - Puerto Boy</t>
  </si>
  <si>
    <t>LUIS FERNANDO MESA GALLEGO</t>
  </si>
  <si>
    <t>EL SEÑOR LUIS FERNANDO MESA, QUIEN VIVE EN EL SECTOR LA SUCIA K 0 + 700 DE LA VÍA BETANIA- PUERTO BOY, EXPRESA QUE EN ANTERIORES OCASIONES SE ACERCÓ AL CONTRATISTA Y LA INTERVENTORIA DE LA OBRA PARA QUE FUERA REVISADA SU SITUACION. COMENTA QUE ADEMAS AUTORIZO AL CONTRATISTA CAMBIAR UN DISIPADOR QUE SE ENCUENTRA EN SU PROPIEDAD, PERO CON EL ACUERDO DE MEJORAR LA SITUACION DE EROSION QUE ÉSTE GENERA EN SU FINCA.
EN LA ACTUALIDAD NO LO HAN TENIDO EN CUENTA Y DICE SENTIRSE EN RIESGO, ESPECIALMENTE EN TEMPORADA DE LLUVIAS DONDE "LA CANTIDAD DE AGUA QUE BAJA ES BASTANTE" 
SOLICITA SEA REVISADO EL ACUERDO INICIAL QUE HIZO CON EL CONTRATISTA CONSORCIO SUROESTE 23.</t>
  </si>
  <si>
    <t>ORIENTE</t>
  </si>
  <si>
    <t>SAN VICENTE</t>
  </si>
  <si>
    <t>Concepción - San Vicente</t>
  </si>
  <si>
    <t>DESIDERIO DE JESUS GALEANO</t>
  </si>
  <si>
    <t>Movilidad</t>
  </si>
  <si>
    <t>PRESENCIA DE UN PUNTO CRITICO EN LA VIA AUTOPISTA - SAN VICENTE EN EL PUNTO CONOCIDO COMO LA HERRADURA, EN DONDE SE FUE PARTE DE LA BANCA  COMO PRODUCTO DEL INVIERNO PASADO. POR EL MOMENTO  HAY SOLO CARRIL  HABILITADO  LO QUE GENERA EL DESPLAZAMIENTO  VEHICULAR</t>
  </si>
  <si>
    <t>16 al 22 de Septiembre</t>
  </si>
  <si>
    <t>YOLOMBÓ</t>
  </si>
  <si>
    <t>Porcecito - Puente Gavino - La Cortada - Yolombó - Yalí - Vegachí</t>
  </si>
  <si>
    <t>RAUL HERNANDO PEREZ</t>
  </si>
  <si>
    <t>LUEGO DE LA RECUPERACION DE UN PUENTE EN LA VEREDA EL HORMIGUERO DE YOLOMBÓ, EN EL SECTOR CONOCIDO COMO CAMPAMENTO, APROX. EN EL KM. 6, TUMBARON UNA ALETA DE CONCRETO DURANTE LAS OBRAS, REALIZADAS HACE MÁS DE DOS AÑOS, HECHO QUE OCASIONA ACTUALMENTE EL DESBORDAMIENTO DE LA QUEBRADA, AFECTANDO A ALGUNAS VIVIENDAS Y AL SALÓN COMUNAL. NO SE SABE CON CERTEZA SI DICHO TRABAJO FUE EFECTUADO POR LA SIF O POR EPM. EL CIUDADANO AFIRMA QUE EN VARIAS OCASIONES SE HA COMUNICADO CON LA SEÑORA DORIS DUQUE, SIN ESPECIFICAR A QUE DEPENDENCIA O INSTITUCIÓN PERTENECE DICHA FUNCIONARIA, Y NO HA RECIBIDO SOLUCIÓN.</t>
  </si>
  <si>
    <t>Terciaria</t>
  </si>
  <si>
    <t>OSCAR RAMIREZ</t>
  </si>
  <si>
    <t>Político</t>
  </si>
  <si>
    <t>LA VIA TERCIARIA DE LA VEREDA LA CRUZ DE YOLOMBO TIENE SALIDA AL MUNICIPIO DE AMALFI Y EL CIUDADANO QUIERE SABER SI DICHA VIA, QUE EN EL MOMENTO FIGURA COMO TERCIARIA, PUEDE ENTRAR A DENOMINARSE EN LA CATEGORIA DE SECUNDARIA POR COMUNICAR A DOS MUNICIPIOS (YOLOMBO Y AMALFI) Y QUE TRAMITE DEBE SEGUIRSE PARA TAL EFECTO.</t>
  </si>
  <si>
    <t>MARISOL JIMENEZ ORTIZ</t>
  </si>
  <si>
    <t>ALEJANDRÍA</t>
  </si>
  <si>
    <t>Concepción - Alejandría</t>
  </si>
  <si>
    <t>OSCAR HUMBERTO CARMONA</t>
  </si>
  <si>
    <t>EN EL PUNTO 4+800 KILOMETROS,EN LA VIA QUE CONDUCE DE ALEJANDRIA A CONCEPCION, EN EL SITIO DONDE  HAY UNA FALLA GEOLOGICA, SE PRESENTA UNA AFECTACION EN LA VIA,CUANDO LLUEVE  SE MANIFIESTA FLUENCIA DE AGUA QUE PASA SOBRE LA VIA,  AL PARECER LAS CUNETAS QUEDARON INADECUADAS,REQUIERO SE DE UNA ATENCION OPORTUNA A DICHA SITUACION Y EN CASO CONTRARIO QUE SE ME EXPLIQUE PORQUE EN EL CONTRATO DE MANTENIMIENTO QUE SE ACABA DE ENTREGAR, NO SE TUVO EN CUENTA ESA SITUACION.</t>
  </si>
  <si>
    <t>SONSÓN</t>
  </si>
  <si>
    <t>Sonsón - San Rafael</t>
  </si>
  <si>
    <t>JUAN CARLOS RESTREPO</t>
  </si>
  <si>
    <t>SE RECIBE PQRS POR PARTE DEL SEÑOR JUAN CARLOS RESTREPO DE LA SECRETARÍA DE OBRAS PÚBLICAS QUIEN MANIFIESTA INCONFORMIDAD PORQUE EN LA VÍA SONSON - PUENTE SAN RAFAEL, SE INICIARON OBRAS DE MANTENIMIENTO EN ABRIL DE 2014, PERO NO SE CONTINUO CON LOS TRABAJOS, EL DIA DE HOY HAY PERDIDA DE BANCA OCASIONANDO ESTO UN PUNTO CRITICO PARA LA VIA, DE CONTINUAR ESTA PERDIDA SERIA CATASTROFICO PARA LA SEGURIDAD Y MOVILIDAD DE LA COMUNIDAD APROX SE QUEDARIAN 3.000 PERSONAS EMPLAZADAS (PUNT CRITICO LAS CARLINAS)</t>
  </si>
  <si>
    <t>SAN LUIS</t>
  </si>
  <si>
    <t>Autopista - San Luis</t>
  </si>
  <si>
    <t>YEIMMY ARROYO C</t>
  </si>
  <si>
    <t>NECESIDAD DE ROCESRIA Y MANTENIMIENTO   SOBRE LA VIA SECUNDARIA  DE ACCESO AL MUNICIPIO DE SAN LUIS, DEBIDO A QUE DICHA ACTIVIDAD  FUE ACORDADA A PRINCIPIOS DEL PRESENTE AÑO  Y A LA FECHA NO SE HA DADO CUMPLIMIENTO A  ELLO POR PARTE DE LA SIF</t>
  </si>
  <si>
    <t>SAN FRANCISCO</t>
  </si>
  <si>
    <t>La Piñuela - San Francisco</t>
  </si>
  <si>
    <t>HECTALIBAR TORO</t>
  </si>
  <si>
    <t>VIA EN PROCESO DE PERDIDA DE BANCA  EN EL SITIO KM 2+450 CON UNA PERDIDA DEL 40%  DE LA SECCION, SITIO DE ALTO RIESGO. ADEMAS EXISTEN OTROS PUNTOS  EN DONDE SE REQUIERE INTERVENCION EN LA VIA</t>
  </si>
  <si>
    <t>MAGDALENA MEDIO</t>
  </si>
  <si>
    <t>PUERTO BERRÍO</t>
  </si>
  <si>
    <t>Interventor</t>
  </si>
  <si>
    <t>Municipio</t>
  </si>
  <si>
    <t>SAN CARLOS</t>
  </si>
  <si>
    <t>Granada - El Choco - San Carlos</t>
  </si>
  <si>
    <t>Económico</t>
  </si>
  <si>
    <t>Montebello - El Aguacate - El Cairo</t>
  </si>
  <si>
    <t>Pueblorrico - San José - La Bodega (Andes)</t>
  </si>
  <si>
    <t>JARDÍN</t>
  </si>
  <si>
    <t>URABÁ</t>
  </si>
  <si>
    <t>Predial</t>
  </si>
  <si>
    <t>ARBOLETES</t>
  </si>
  <si>
    <t>Arboletes - El Tambito</t>
  </si>
  <si>
    <t>DAVID JOSE FLORES VELEZ</t>
  </si>
  <si>
    <t>DURANTE LA SOCIALIZACION DEL DURANTE DE LAS OBRAS DE LA VIA EL TAMBITO EL CARMELO SAN PEDRO DE URABA, EL CONTRATISTA DEL CONSORCIO ANTIOQUIA VIAL Y SU REPRESENTANTE HECTOR RESTREPO SIERRA, SE COMPROMETIÓ A TRAER NUEVAMENTE LA MAQUINARIA PARA ARREGLAR CINCO KILOMETROS EN EL SECTOR EL CARMELO Y LA AMPLIACION DEL BOX COULVERT; A LA FECHA NO SE HA CUMPLIDO Y SE REQUIERE QUE CUMPLAN PRONTAMENTE EL COMPROMISO</t>
  </si>
  <si>
    <t>21 al 27 de Octubre</t>
  </si>
  <si>
    <t>HECTOR LOTERO</t>
  </si>
  <si>
    <t>LAS COMUNIDADES DE LAS VEREDAS SITUADAS ENTRE BODEGAS (PUERTO BERRIO) HASTA SANTA MARTINA (REMEDIOS), SE ENCUENTRAN DESCONTENTAS PORQUE LA MAQUINARIA DEL CONSORCIO INFRAME NO INTERVINO ESE TRAMO DE LAS VÍAS LAS FLORES - BODEGAS - LA Y Y LA Y - REMEDIOS. SE QUEJAN DEL MAL ESTADO DE DICHO TRAMO.</t>
  </si>
  <si>
    <t>ANZÁ</t>
  </si>
  <si>
    <t>Ramal a Anzá</t>
  </si>
  <si>
    <t>DUMAR LEANDRO MONTOYA</t>
  </si>
  <si>
    <t>EL SECRETARIO DE PLANEACION DEL MUNICIPIO DE ANZA, DUMAR LEANDRO MONTOYA, RECIBE UNA QUEJA EN SU DESPACHO,  EN LA QUE SE INFORMA QUE EL SEÑOR JUAN GUILLERMO LOPEZ INGENIERO RESIDENTE DE LA OBRA DEL MANTENIMIENTO Y REHABILITACIONDE LA VÍA RAMAL - ANZA, ADEUA EN EL MUNICIPIO A VARIOS HBITANTES POR CONCEPTO DE ALIMENTACION, PARQUEADERO Y DEPOSITO DE HERRAMIETAS Y MATERIAL, PERJUDICANDO ESTE HECHO ECONOMICAMENTE A LAS PERSONAS CON QUIENES REALIZO EL CONVENIO.
NOTA: LA PQRS NO TIENE FIEMA DADO A QUE SE RECIBE TELEFONICAMENTE</t>
  </si>
  <si>
    <t>MONTEBELLO</t>
  </si>
  <si>
    <t>HECTOR JAIME LOPEZ</t>
  </si>
  <si>
    <t>LA VIA SECUNDARIA QUE COMUNICA AL MUNICIPIO DE ABEJORRAL, SE ENCUENTRA MUY DETERIORADA. EN LA QUEBRADA LAS CHUCHAS HAY UN PUENTE DE TABLA QUE LA COMUNIDAD TIENE QUE UTILIZAR PARA SU TRANSITABILIDAD. 
ES LA COMUNIDAD LA QUE TIENE QUE REALIZAR EL MANTENIMIENTO DE TAPAR HUECOS, LIMPIAR CUNETAS, REALIZAR ZANJAS PARA CANALIZAR LAS AGUAS.
SON MUCHOS LOS HABITANTES LOS PERJUDICADOS, LOS CARROS POR EL DETERIORO DE LA VIA NO PUEDEN TRANSITAR. LA UNICA LINEA DE TRANSPORTE QUE LLEGA A LA VEREDA LES INFORMO QUE POR EL MAL ESTADO DE LA VIA NO VA A PODER INGRESAR.</t>
  </si>
  <si>
    <t>CAREPA</t>
  </si>
  <si>
    <t>Carepa - Saiza</t>
  </si>
  <si>
    <t>PITERSON ALEXANDER TRELLEZ URUETA</t>
  </si>
  <si>
    <t>EN LA VIA CAREPA-SAIZA, EN EL KILOMETRO 2,700 APROXIMADAMENTE, SE ENCUENTRA EL PUENTE LA HUEVERA, EL CUAL SE ENCUENTRA EN MUY MA ESTADO DEBIDO A QUE LA PLACA DEL RODAMIENTO PRESENTA FALLAS, LAS ALETAS DEL PUENTE SE CALLERON AL IGUAL QUE LAS VARANDAS DE PROTECCION, LOS CIMIENTOS SE ENCUENTRAN SOCAVADOS Y PRESENTA RIESGO DE VOLCAMIENTO LATERAL, DEBIDO A LA ACUMULACION DE GRAN CANTIDAD DE MATERIAL VEGETAL O EMPALIZADAS QUE DISMINUYEN LA CAPACIDAD HIDRAULICA EN EL SITIO DEL PUENTE CON EL AGRAVANTE DE QUE EN EL PUENTE HAY UN VIADUCTO PARA EL ACUEDUCTO DE LA CABECERA MUNICIPAL, SI ESTE VIADUCTO COLAPSA QUEDARA SIN SERVICIO DE ACUEDUCTO TODA LA CABECERA MUNICIPAL DE CAREPA.</t>
  </si>
  <si>
    <t>ARGELIA</t>
  </si>
  <si>
    <t>DORA LUISA ARANGO</t>
  </si>
  <si>
    <t>DESDE EL MES DE JUNIO  DE 2013  SE FUE EL GAVION  ( MURO DE CONTENCIÓN ) A TIERRA TAPANDO LA VIA,  LOS MIEMBROS DE LA COMUNIDAD  LE REALIZARON LA INTERVENCION. DEBIDO A  LA PERDIDA  DELL GAVION  ESTA EN RIESGO LA PLACA POLIDEPORTIVA  DEL CER HELIODORO  ZULUAGA  GOMEZ PONIENDO EN PELIGRO  LA INTEGRIDAD  DE LOS NIÑOS Y NIÑAS QUE ESTUDIAN EN LA ESCUELA  ALREDEDOR DE 70  ESTUDIANTES. SE HAN REALIZADO  PETICIONES  A LA ADMINISTRACION MUNICIPAL   CON EVIDENCIAS, PERO LA RESPUESTA  OBTENIDA  FUE QUE  CON LA SUMA DE DINERO  QUE CUESTA REALIZAR LA INTERVENCION  PUEDEN CONSTRUIR OTRA ESCUELA</t>
  </si>
  <si>
    <t>VEGACHÍ</t>
  </si>
  <si>
    <t>Vegachí - Remedios</t>
  </si>
  <si>
    <t>ANA MARIA RENGIFO</t>
  </si>
  <si>
    <t>EN LA VEREDA BELGICA, SECTOR JAPON, DEL MUNICIPIO DE VEGACHI, ENTRE LA CABECERA MUNICIPAL Y EL CORREGIMIENTO EL TIGRE, SE PRESENTA TAPONAMIENTO DE OBRA TRANSVERSAL, OCASIONANDO LA ACUMULACIÓN DE INSECTOS Y OTROS ANIMALES (MOSCOS, ZANCUDOS, CULEBRAS) EN EL SECTOR, DEBIDO A UNA LAGUNA QUE SE FORMÓ AL LADO DE LA VIA POR LA OBSTRUCCIÓN EN EL DESAGUE. ESTA SITUACION ESTA OCASIONANDO PROBLEMAS DE SALUD PUBLICA A LAS COMUNIDADES ALEDAÑAS. LA PRESIDENTA DE LA JUNTA DE ACCION COMUNAL DE DICHA VEREDA, ENVIO UN OFICIO A LA EMPRESA UNION TEMPORAL ICESGA, CONTRATISTA DE INVIAS, EXPLICANDO LA SITUACION Y PIDIENDO SU PRONTA INTERVENCION, PERO DICHA EMPRESA RESPONDIO AFIRMANDO QUE EL CONTRATO 853 DE 2009 CELEBRADO CON INVIAS PARA EL MANTENIMIENTO DE LA TRONCAL DEL NORDESTE, SE EJECUTO DESDE EL PR 10+000, DONDE COMIENZA EL PAVIMENTO RIGIDO EN EL PREDIO EL BRASIL DEL MUNICIPIO DE VEGACHI, HASTA EL PR 112+880 UBICADO EN JURISDICCIÓN DEL MUNICIPIO DE ZARAGOZA. SEGÚN ESTO, EL HECHO SE ESTA PRESENTANDO EN UN TRAMO QUE ESTA BAJO LA JURISDICCION DE LA SECRETARIA DE INFRAESTRUCTURA FISICA DE LA GOBERNACION DE ANTIOQUIA Y NO DEL INVIAS. SE SOLICITA POR PARTE DE LA COMUNIDAD URGENTE SOLUCION POR LOS PROBLEMAS DE SALUBRIDAD QUE SE ESTAN OCASIONANDO. FAVOR REVISAR CON CUIDADO LOS OFICIOS ANEXOS.</t>
  </si>
  <si>
    <t>NARIÑO</t>
  </si>
  <si>
    <t>Nariño - Puente Linda</t>
  </si>
  <si>
    <t>CESAR AUGUSTO VERGARA CARVAJAL</t>
  </si>
  <si>
    <t>LA PQRS, ES RECIBIDA MEDIANTE CORREO ELECTRONICO, REMITIDO POR EL SECRETARIO DE PLANEACION DEL MUNICIPIO DE NARIÑO, QUIEN INFORMA QUE EN LA VÍA NARIÑO - PUENTE LINDA, A LA ALTURA DE ABSCISA 11+400 APROXIMADAMENTE, DEBIDO AL FUERTE INVIERNO DE LOS ÚLTIMOS DÍAS SE PRESENTO PERDIDA DE LA BANCA Y SE ENCUENTRA EN ALTO RIESGO DE PERDERSE TODA LA VÍA. LA ADMINISTRACION MUNICIPAL SOLICITA UNA INTERVENCION INMEDIATA A ESTA SITUACION, QUE REPRESENTA UN PELIGRO INMINENTE PARA LA COMUNIDAD Y LOS TRANSEUNTES QUE UTILIZAN ESTA VIA.</t>
  </si>
  <si>
    <t>HARLEN DAYANA CORDOBA MENA</t>
  </si>
  <si>
    <t>ESTA PQRS SE DERIVA  DE OTRA QUE FUE CERRADA (1100) EN LA QUE SE REPORTO QUE UN OBRERO FUE ATROPELLADO  POR UN BUS DE LA FLOTA GRANADA. AL INDAGAR EL CASO SE ENCUENTRA QUE  EL JOVEN  JOSE RODRIGO VASQUEZ ZULUAGA  FUE ATROPELADO EL 13 DE ENERO DE 2014  AL TERMINAR SUS FUNCIONES  EN LA VIA LA PIÑUELA- SAN FRANCISCO; EL SOAT  DEL VEHICULO CUBRIO CIERTOS GASTOS  PRODUCTOS DEL ACCIDENTE, PERO RESULTA QUE EL SEÑOR  JOSE RODRIGO  QUIEN TRABAJABA PARA EL SEÑOR  EUGENIO ( SIN APELLIDO )  SUBCONTRATISTA DEL CONSORCIO  CONSTRUCCIONES VIALES  DE ANTIOQUIA NO LO TENIA AFILIADO A SEGURIDAD SOCIAL, PESE A QUE TODOS LOS MESES ESTA LE ERA DESCONTADA  DE SU SALARIO</t>
  </si>
  <si>
    <t>4 al 10 de Noviembre</t>
  </si>
  <si>
    <t>MACEO</t>
  </si>
  <si>
    <t>Alto Dolores - Maceo</t>
  </si>
  <si>
    <t>RAFAEL RAMIREZ RESTREPO</t>
  </si>
  <si>
    <t>EL SEÑOR RAFAEL GUILLERMO RAMIREZ, CONCEJAL DEL MUNICIPIO DE MACEO NOS COLOCA UNA QUEJA POR LA OBRA REALIZADA EN LA VÍA ALTO DE DOLORES MUNICIPIO DE MACEO, A CONTINUACIÓN ADJUNTAMOS TEXTO REDACTADO POR EL SEÑOR ENVIADO POR CORREO ELECTRÓNICO.
TAMBIÉN POSEEMOS EL FORMATO DE REGISTRO DE PQRS, FOTOS, DEL  RECORRIDO DE CONTROL SOCIAL QUE SE REALIZÓ EN COMPAÑÍA DEL SEÑOR CONCEJAL  PARA VERIFICAR EL HECHO.
“POR MEDIO DE LA PRESENTE ME DIRIJO A USTED CON EL FIN DE SOLICITARLE SU INTERVENCIÓN EN LA SOLUCIÓN DE UNOS ALGUNOS ASUNTOS CON LOS QUE QUEDAMOS INCONFORMES LOS HABITANTES DEL MUNICIPIO DE MACEO.
EN EL MES DE ABRIL SE EJECUTO EN EL MUNICIPIO DE MACEO EL MANTENIMIENTO DE UNA VÍA COMPRENDIDA ENTRE EL ALTO DE DOLORES - MACEO, ESTE MANTENIMIENTO TENGO ENTENDIDO FUE REALIZADO POR EL CONSORCIO INFRAME Y RESULTA QUE DICHO CONSORCIO EN ESTE MANTENIMIENTO NO RETIRO LOS ESCOMBROS (DERRUMBES DE TIERRA) QUE EXISTÍAN EN LAS CUNETAS A LA HORA DE REALIZAR DICHO MANTENIMIENTO. EN EL MES DE MAYO ME DIRIJI A LA SECRETARIA DE PLANEACION DEL MUNICIPIO DE MACEO PARA QUE HICIERA LAS GESTIONES CORRESPONDIENTES, DICHA FUNCIONARIA LLAMO AL INTERVENTOR DE LA OBRA Y LA RESPUESTA FUE QUE VENDRÍAN A RETIRAR DICHOS ESCOMBROS CON UNA MAQUINA PEQUEÑA Y HASTA LA FECHA NO SE HA REALIZADO DICHO TRABAJO.
AGRADEZCO SU COLABORACIÓN PARA QUE DICHOS ESCOMBROS SEAN RETIRADOS DE LAS CUNETAS Y NO INCIDAN EN EL DAÑO DE LA VÍA.”
CORDIALMENTE
RAFAEL GUILLERMO RAMIREZ
CONCEJAL MACEO
TEL: 3204496115</t>
  </si>
  <si>
    <t>LUIS ARTURO ARANGO OSORIO</t>
  </si>
  <si>
    <t>EL PRESIDENTE DE LA JAC EL ZANCUDO DON LUIS ARTURO SOLICITA SE LE INFORME  SI RECIBIRA  UN RECONOCIMIENTO ECONOMICO  YA QUE  ES DUEÑO DE UN PREDIO DE 1105 MTS  EN DONDE SE ENCUENRA UBICADA LA ESTACION DEL CABLE AEREO SAN LUIS.</t>
  </si>
  <si>
    <t>LUIS FERNANDO MORENO</t>
  </si>
  <si>
    <t>EN LA VIA SAN CARLOS- GRANADA KM 10  APROXIMADAMENTE( VEREDA PALMICHAL)  SE PRESENTA DERRUMBE Y/O DESLIZAMIENTO  EN VIA SECUNDARIA QUE OCASIONA  LA PERDIDA DE BANCA EN LA PARTE SUPERIOR DEL TALUD EN VIA TRECIARIA DE ACCESO A  UN SECTOR DE LA VEREDA PALMICHAL Y DE LA BASE MILITAR CERRO DOS. DEBIDO A LO ANTERIOR DE PRESENTA  UN ALTO RIESGO A LA INTEGRIDAD FISICA DE  LA COMUNIDAD DEL SECTOR,  ESPECIALMENTE DE LA POBLACION  INFANTIL  QUE SE DESPLAZA POR DICHO TRAMO  PARA  ASISTIR A CLASES EN EL CLEGIO PALMICHAL</t>
  </si>
  <si>
    <t>San Rafael - San Carlos</t>
  </si>
  <si>
    <t>LUIS FERNANDO MORENO CORREA</t>
  </si>
  <si>
    <t>EN LA VIA SAN CARLOS- SAN RAFAEL KM 13 APROXIMADAMENTE  SE PRESENTA UNA PERDIDA DE BANCA  EN LA CURVA DE LA VIA DE LA MARGEN DERECHA ( CERCA AL PUENTE DE LAS MARGARITAS). POR LA UBICACIÓN DE LA FALLA  EXISTE UN ALTO RIESGO DE ACCIDENTALIDAD  EL CUAL PUEDE  OCASIONAR UN SINIESTRO</t>
  </si>
  <si>
    <t>11 al 18 de Noviembre</t>
  </si>
  <si>
    <t>YONDÓ</t>
  </si>
  <si>
    <t>La Ye - Yondó</t>
  </si>
  <si>
    <t>JORGE SANCHEZ</t>
  </si>
  <si>
    <t>PQRS: QUEJA  
EL SEÑOR JORGE SANCHEZ ADMINISTRADOR DE LA FINCA EL RETIRO, IDENTIFICADO CON CEDULA # 71.171.421, CON # TELEFONICO 3208402474, SE QUEJA QUE LA EMPRESA SUBCONTRATISTA AHB, LE ADEUDA POR CONCEPTO DE COMPRA DE  MATERIAL DE CANTERA, $ 3.080.000 MILLONES DE PESOS. 
EL SEÑOR ARGUMENTA QUE NO LE QUISO FIRMAR LA CUENTA DE COBRO Y NO LE QUIERE PAGAR EL VALOR REAL DEL MATERIAL, PUES QUIERE PAGARLO AUN COSTO MUY POR DEBAJO DEL VALOR REAL, SOLICITA MUY AMABLEMENTE QUE INTERCEDAMOS PARA QUE SE LE PAGUE YA QUE LE URGE EL DINERO Y EL CONFIO PORQUE ERA UNA REPRESENTACION DE LA GOBERNACION DE ANTIOQUIA.</t>
  </si>
  <si>
    <t>SUB CONTRATISTA AHB</t>
  </si>
  <si>
    <t>EMPLEADOS A AHB</t>
  </si>
  <si>
    <t>PQRS: QUEJA 
LOS EMPLEADOS DE LA EMPRESA AHB,  QUE DESEMPEÑAN SU LABOR EN EL PUENTE DEL RETIRO VIA LA YE-YONDO, SE QUEJAN DE QUE NO LES PAGAN SALARIO DESDE EL 15 DE OCTUBRE DE 2014 A LA FECHA, ADEMAS LES ADEUDAN 11 DIAS DEL MES DE AGOSTO, LA DOTACION DE UNIFORMES SE LES ENTREGO EL DIA EL DIA 22 DE OCTUBRE  DEL PRESENTE AÑO.
TAMBIEN SE LE DEBEN DOS DIAS DE VIGILANCIA DE UN CEMENTO  AL SEÑOR: JOSE EDUARDO VARGAS PALACIO. 
LOS SEÑORES PIDEN QUE LES COLABOREMOS PARA QUE LES PAGUEN, YA QUE ESTAN SIN LABORAR Y ESTAN PENDIENTES DE QUE EL CONTRATISTA INICIE NUEVAMENTE LAS OBRAS. 
NOTA: FALTARON DOS EMPLEADOS POR FIRMAR YA QUELE QUEDA DIFIFICIL ASISTIR AL LUGAR DONDE NOS REUNIMOS PARA TOMAR LAS PQRS
SE ANEXA REGISTRO DE FIRMAS   DE LAS PERSONAS A LAS CUALES SE LES ADEUDA DINERO.</t>
  </si>
  <si>
    <t>MARDU YULAY AGUDELO</t>
  </si>
  <si>
    <t>PQRS: QUEJA 
LA SEÑORA MARDU YULAY AGUDELO, IDENTIFICADA CON CEDULA # 1039686694, CON # TELEFONICO  3146821204, SE QUEJA QUE LA EMPRESA SUBCONTRATISTA AHB, LE ADEUDA POR CONCEPTO DE LIQUIDACION POR LABORES  DE  15 DIAS.  
LA  SEÑORA ARGUMENTA QUE NO LE QUIERE PAGAR Y  SOLICITA  MUY AMABLEMENTE QUE INTERCEDAMOS PARA QUE SE LE PAGUE YA QUE LE URGE EL DINERO Y EL  CONFIO PORQUE ERA UNA REPRESENTACION DE LA GOBERNACION DE ANTIOQUIA.</t>
  </si>
  <si>
    <t>SUBCONTRATISTA</t>
  </si>
  <si>
    <t>MARDU YULAY  AGUDELO</t>
  </si>
  <si>
    <t>PQRS: QUEJA 
LA SEÑORA MARDU YULAY AGUDELO, IDENTIFICADA CON CEDULA # 1039686694, CON # TELEFONICO  3146821204, SE QUEJA QUE LA EMPRESA SUBCONTRATISTA AHB, LE ADEUDA POR CONCEPTO DE ALIMENTACION Y HOSPEDAJE DE RETRERO Y VOLQUETERO DE 10 DIAS, POR UN VALOR DE $ 228.000 MIL DE PESOS. 
LA ARGUMENTA QUE NO LE QUIERE PAGAR Y  SOLICITA  MUY AMABLEMENTE QUE INTERCEDAMOS PARA QUE SE LE PAGUE YA QUE LE URGE EL DINERO Y EL  CONFIO PORQUE ERA UNA REPRESENTACION DE LA GOBERNACION DE ANTIOQUIA.</t>
  </si>
  <si>
    <t>SUBCONTRATISTA AHB</t>
  </si>
  <si>
    <t>MARIO JAIR RODAS</t>
  </si>
  <si>
    <t>PQRS: QUEJA 
EL SEÑOR JORGE JAIR RODAS, MADERERO  IDENTIFICADO CON CEDULA # 1039686763, CON # TELEFONICO  3146821204, SE QUEJA QUE LA EMPRESA SUBCONTRATISTA AHB, LE ADEUDA POR CONCEPTO COMPRA DE MADERA PARA LA OBRA FALSA Y 14 DOCENAS DE 4X4 Y UNA VIGA DE NUEVE METROS POR UN VALOR DE $ 520.000 MIL DE PESOS. 
EL SEÑOR ARGUMENTA QUE NO LE QUIERE PAGAR Y  SOLICITA  MUY AMABLEMENTE QUE INTERCEDAMOS PARA QUE SE LE PAGUE YA QUE LE URGE EL DINERO Y EL  CONFIO</t>
  </si>
  <si>
    <t>SAN ROQUE</t>
  </si>
  <si>
    <t>Caramanta - Cristales - San Roque</t>
  </si>
  <si>
    <t>Hernando de Jesus Monsalve Restrepo</t>
  </si>
  <si>
    <t>INCONFORMIDAD POR EL ESTADO ACTUAL DE LA VIA. LA COMUNIDAD DICE QUE LAS OBRAS SE INICIARON AL CONTRARIO, LOS TRABAJOS DE ADECUACION, A LO EXPRESADO EN LA SOCIALIZACION. NO SE HA TENIDO EN CUENTA EL CAMBIO CLIMATICO. LA VIA ESTA INTRANSITABLE; HA AFECTADO EL TRANSPORTE, OCASIONANDO GASTOS ADICIONALES PORQUE NO HAN PODIDO SACAR LA PANELA O PRODUCTOS Y CUANDO HAN PASADO LES HA TOCADO LLEVAR LOS VEHICULOS A MANTENIMIENTO O ARREGLOS. SOLICITAN HBILITAR LA VIA CARAMANTA - CRISTALES - SAN ROQUE LO MAS PRONTO POSIBLE. SOLICITAN LA VINCULACION DE LA MANO DE OBRA DE LA VEREDA PORQUE HAN OBSERVADO PERSONAL ASIGNADO DESCONOCIENDO EL DEL CORREGIMIENTO Y LA ASOCOMUNAL.</t>
  </si>
  <si>
    <t>CONSORCIO OBRAS 2012</t>
  </si>
  <si>
    <t>LUIS FERNANDO MESA</t>
  </si>
  <si>
    <t>DESPUES QUE LA GOBERNACION DE ANTIOQUIA REALIZARA LOS TRABAJOS DE PAVIMENTACION DE LA VIA, EMPEZARON A VER PROBLEMAS CON LA CAPACIDAD DE UN DISIPADOR Y EL CIUDADANO EXPLICA QUE ES INSUFICIENTE SU CAPACIDAD Y POR ESTE MOTIVO SE INUNDA CONSTANTEMENTE AFECTANDO LA VIA DE INGRESO A SU FINCA "El ROSAL" KM 0+700, POR TAL MOTIVO SE SOLICITA LA VISITA TECNICA DE VERIFICACION.</t>
  </si>
  <si>
    <t>DIEGO DAVID OCHOA</t>
  </si>
  <si>
    <t>EL PROFESIONAL A CARGO DE LA GERENCIA DE MUNICIPIOS REQUIERE CLARIDAD SOBRE LAS INTERVENCIONES REALIZADAS A UNA DE LAS VIAS DEL SUROESTE. SE ENTREGA ANEXO DEL MAIL, DONDE SE EXPLICA LA SOLICITUD.
ANEXO:
BUENAS TARDES,
DORLEY, SOY DIEGO DAVID DE LA GERENCIA DE MUNICIPIOS, DE ACUERDO A LO CONVERSADO TELEFÓNICAMENTE TE CONTEXTUALIZO SOBRE LA INFORMACIÓN QUE EL MUNICIPIO DE JARDÍN TIENE DE LA INTERVENCIÓN DE LA VÍA JARDÍN - ALTO DE VENTANAS. 
EN SESIÓN DEL CONCEJO MUNICIPAL DEL DÍA 14 DE NOVIEMBRE SE ME INVITÓ A SOCIALIZAR EL ESTADO DE LOS ACUERDOS PÚBLICOS SUSCRITOS CON EL MUNICIPIO, ACUERDOS DE LOS CUALES AUN SE ENCUENTRA EN EJECUCIÓN EL CONCERNIENTE A "MANTENINIMIENTO, RECUPERACIÓN Y DESARROLLO DE LA RED VIAL SECUNDARIA (REMOLINO - HISPANIA - ANDES - JARDÍN - ALTO DE VENTANAS)" EN LA MATRIZ DE SEGUIMIENTO DE LOS ACUERDOS ME APARECE QUE DICHA INTERVENCIÓN SE HARÁ DESDE EL 01/11/2013 HASTA EL 20/12/2014, SIN EMBARGO, EN LA SESIÓN LOS CONCEJALES MANIFESTARON SU INQUIETUD FRENTE A LA INTERVENCIÓN DEL TRAMO JARDÍN - ALTO DE VENTANAS, YA QUE A SU JUICIO ESTA VÍA NO SE HA INTERVENIDO SALVO EN OCASIONES DE EMERGENCIA PARA REMOVER DERRUMBRES, TRAS ESTA APRECIACIÓN EL ALCALDE Y LA SECRETARIA DE PLANEACIÓN MUNICIPAL ARGUMENTARON QUE EL TRAMO ANTES MENCIONADO SÍ SE VA A INTERVENIR Y QUE EN REUNIÓN SOSTENIDA EN OCTUBRE SE DEJÓ CLARO POR PARTE DE FUNCIONARIOS DE LA SECRETARÍA DE INFRAESTRUCTURA FÍSICA QUE LA INTERVENCIÓN SE HARÁ EN EL AÑO 2015 Y QUE CONTEMPLA DOBLE RIEGO PARA LOS 4,5 KMS. 
EL ANTERIOR CONTEXTO LO HAGO PARA PREGUNTAR CUÁL ES EL ESTADO REAL DE LA INTERVENCIÓN Y CUÁLES SON LOS COMPROMISOS A LOS QUE SE HA LLEGADO CON EL MUNICIPIO, DE FORMA TAL QUE SE PUEDAN DESPEJAR LAS DUDAS E INQUIETUDES.
SALUDOS!!!</t>
  </si>
  <si>
    <t>EN LA VIA LA PIÑUELA-SAN FRANCISCO EN EL KM 12+700 ENTRADA  A SAN FRANCISCO HUBO UN COLAPSO PARCIAL DE LA VIA DEBIDO A SATURACION DE SUELOS  POR LA OLA INVERNAL. EN EL KM 11+500  SE PRESENTA DESESTABILIZACION DE LA BANCA  DEBIDO A DESESTABILIZACION DE SUELOS  POR PROCESO EROSIVO ORIGINADO POR LA OLA INVERNAL.</t>
  </si>
  <si>
    <t>19 al 24 de Noviembre</t>
  </si>
  <si>
    <t>CLARISA RAMÍREZ</t>
  </si>
  <si>
    <t>EL TRAMO DE LA VÍA VEGACHÍ - REMEDIOS, QUE COMPRENDE DESDE EL KM 10 HASTA LA CABECERA MUNICIPAL DE REMEDIOS, FUE INTERVENIDO POR EL INVÍAS POR MEDIO DE LA EMPRESA UNION TEMPORAL ICESGA. LA COMUNIDAD DE EL TIGRE SE ENCUENTRA INCONFORME CON DICHA INTERVENCION PORQUE EL TRAMO DE VÍA QUE PASA POR LA CABECERA DE ESTE CORREGIMIENTO, QUEDO CON ALGUNAS FALLAS O SU INTERVENCION GENERO OTROS PROBLEMAS. ESTOS SON LOS SIGUIENTES:
1. EN EL SECTOR DE LOS ACEITUNOS, LA OBRA TRANSVERSAL NO SE CONSTRUYÓ ADECUADAMENTE POR LO TANTO NO PERMITE EL DESAGÜE, OCASIONANDO QUE LAS AGUAS SE REPRESEN EN LA VÍA, LO CUAL HACE QUE LAS FACHADAS DE LAS VIVIENDAS SE ENSUCIEN CUANDO LOS VEHICULOS TRANSITAN POR ALLI.
2. LA VIBRACION QUE PRODUJO EL PASO DE LA MAQUINARIA, OCASIONO GRIETAS Y AVERIAS EN LAS PAREDES Y PISOS DE ALGUNAS VIVIENDAS Y A PESAR DE QUE LOS PROPIETARIOS HAN ENVIADO CARTAS Y DERECHOS DE PETICION, NO HAN ENCONTRADO AÚN RESPUESTA A SUS RECLAMOS.
3. LA REMOCION DE TIERRA EN ALGUNOS SITIOS, PUSO EN RIESGO LA ESTABILIDAD DE ALGUNAS VIVIENDAS.</t>
  </si>
  <si>
    <t>9 al 15 de Diciembre</t>
  </si>
  <si>
    <t>Puerto Berrío (Las Flores) - Cruces</t>
  </si>
  <si>
    <t>JUAN DE DIOS ESPINAL</t>
  </si>
  <si>
    <t>Los señores  Juan de Dios Espinal Garcés y Juan Miguel Galeano, socios de la Cantera El Roble, en representación de los demás socios,  manifiestan su inconformidad, con el contratista Consorcio Obras 2012, el cual interviene la vía: Cruces –Las Flores Puerto Berrio,  referente  al precio y pago oportuno del material, que fue suministrado por la cantera para los trabajos que se realizan en la vía antes mencionada, ya que el precio que se les va pagar es por debajo del precio real en el mercado. Indican que  Además que se les dijo que el material de su cantera no cumple con lo establecido  por la reglamentación a lo que ellos tramitaron la certificación donde consta que si cumplen con dicho perfil.
En concreto lo que se solicita concretamente  es que se les siga comprando el material ya que cumplen con toda la normatividad y de acuerdo a esto se les mejoren los precios del material. 
Para tal efecto se anexa: listado de asistencia, copia de certificación y relación de material entregado.</t>
  </si>
  <si>
    <t>PEQUE</t>
  </si>
  <si>
    <t>Uramita - Peque</t>
  </si>
  <si>
    <t>EDILSON ANDRES GUERRA</t>
  </si>
  <si>
    <t>EN  EL UNICIPIO DE PEQUE SE RALIZA MANTENIMMIENTO, MEJORAMIENTO Y REHABILITACION URAMITA - PEQUE, ESTA SE INTERVIENE CON EL PROCESO DE ESTABILIZACION QUIMICA (TERRASIL) EL CUAL LLEVA EN EL MOMENTO 2 KM DE VIA, DESDE LA SALIDA DEL MUNICIPIO PEQUE, CON RESULTADOS POCO FAVORABLES, SEGÚN REFERENCIA DE OTRA VIA DEL MUNICIPIO INTERVENIDA CON PROCESO SIMILAR , DICHO PROCESO SEGÚN NUESTRA EXPERIENCIA NO TIENE LA COMPACTACION Y CURADO ADECUADO POR FALTA DE HUMMEDAD Y ADICIÒN DE MATERIAL IDÓNEO (AFIRMADO ARCILLOSO); EL MAATERIAL SE ENCUENTRA SUELTO EN LA VIALO QUE GENERA PELIGROSIDAD PARA EL TRANSITO VEHICULAR.
POR ESTAS RAZONES SE SOLICITA A LOS SUPERVISORES DE LA S.I.F MAURICIO MORALES Y/O HENRY VERGARA, REALIZAR VISITA TECNICA A LA VIA PARA QUE DE A LA ADMINNISTRACION MUNICIPAL INFORME TECNICO DETALLADO DEL PROCESO QUE SE REALIZA ACTUALMENTE.</t>
  </si>
  <si>
    <t>Támesis - Puente Lata</t>
  </si>
  <si>
    <t>JOHAN MANUEL DURANGO</t>
  </si>
  <si>
    <t>EN LA VIA JERICO  - PUENTE LATA, SE ENCUENTRAN VARIOS PUNTOS CRITICOS, HAY UN TALUD EN EL SECTOR LAS TAPIAS OBSTRUYE LA VIA, EL MUNICIPIO DE JERICO DEBE HACERSE RESPONSABLE DE LA VIA Y DE SU MANTENIMIENTO YA QUE LA GOBERNACION DE ANTIOQUIA NO HACE PRESENCIA EN LA ZONA.</t>
  </si>
  <si>
    <t>27 de Enero al 2 de Febrero</t>
  </si>
  <si>
    <t>ESTADO</t>
  </si>
  <si>
    <t>Edierl López</t>
  </si>
  <si>
    <t>La atención programada y realizada para ésta vía por parte de la Secretaría de Infraestructura Física, consistió en un mantenimiento y mejoramiento en el marco del contrato de: Mantenimiento, Rehabilitación y Mejoramiento de la Red Vial Secundaria. 
Con la Empresa OCENSA se realizaron conversaciones para que aportaran al mantenimiento de un tramo de la vía con lo cual respondieron afirmativamente. 
Se aclara que el Consorcio Inframe continua sus trabajos en otras vías del Nordeste y Magdalena Medio donde también se habían programado inversiones, y que en dicho mantenimiento se priorizaron las actividades de conformación y afirmado a lo largo de la vía, atención a puntos críticos, realización de obras en determinados puntos a lo largo de la vía y el mantenimiento manual.
Se agradece el interés por la atención de la vía pero se informa que en la actualidad ya se realizó la inversión programada en dicha zona, por lo tanto, no se cuenta con mas recursos para intervenirla.</t>
  </si>
  <si>
    <t>Juliana Gómez</t>
  </si>
  <si>
    <t>La realización de resaltos no está dentro del alcance del contrato, sin embargo, en los próximos días se coordinará con el transito municipal para programar la señalización de la vía con pintura.</t>
  </si>
  <si>
    <t>Se remite PQRS a la Ingeniera Elizabeth Trujillo, quién tramitará respuesta.</t>
  </si>
  <si>
    <t>Mauricio Rodriguez</t>
  </si>
  <si>
    <t>PQRS atendida telefónicamente por Mauricio Rodríguez. 
Se aclara que el punto crítico se atendió en la ola invernal del 2010. 
Bajo el contrato de Mantenimiento, Rehabilitación y Mejoramiento de la Red Vial Secundaria, se programó una intervención que consistía en un mantenimiento rutinario en la que se construyeron obras aledañas al punto mencionado por estar en estado crítico. 
Atendiendo a la solicitud, se plantea una visita técnica, para evaluar la posibilidad técnica y financiera de colocar un tubo adicional y realizar un lleno con el presente contrato.</t>
  </si>
  <si>
    <t>Edier López
Juan Fernando Franco</t>
  </si>
  <si>
    <t>20/10/2014
24/10/14</t>
  </si>
  <si>
    <t>Se remite a Juan Fernando Franco.
Respuesta del Ing. Juan Fernando Franco:
Puente “El Hormiguero” Vía Porcesito-El Mango”.
El Departamento de Antioquia intervino, en el año de 2009, el puente sobre la quebrada Bareño, puente denominado “el Hormiguero”, localizado en el Km 5+850 de la vía “Porcesito- La Cortada- El Mango- Amalfi. 
Tipo de intervención:  Ampliación del puente, recinte de estribos y aletas.
Contrato 2008-CO-20-062 Atención de la emergencia vial y puntos críticos de las vías con cargo del Departamento de Antioquia en las subregiones de Nordeste y Magdalena Medio.
Contratista: Consorcio Vial 08 Nordeste
Valor: $94.317.000
La intervención realizada fue la ampliación del puente hacia aguas arriba,  que consistió en construir un par de pilas profundas coronadas por una viga cabeza para apoyar la ampliación del puente el cual pasó de 6.0 metros de sección  (Puente viejo sobre vigas de acero) a un puente de 9.20 m de sección total. Es decir se construyó un puente nuevo de 3.20 metros en vigas de concreto adosado como ampliación al puente viejo.
Además en esa oportunidad se hizo recinte o recalce de estribos y aletas.
En la situación actual, es posible observar que existe un proceso activo de desestabilización en la margen derecha hacia arriba que terminó por afectar la aleta (se cayó) en ese sector y consecuentemente la vivienda o edificación sobre ella, además existe un riesgo inminente para las viviendas localizadas en toda la margen derecha hacia aguas arriba del puente en el área de retiro tanto de la quebrada como de la vía veredal que allí se inicia.
Nota: La situación de riesgo, por inadecuada localización de las viviendas es un tema de competencia de la administración municipal de Yolombó, dado que la solución definitiva a los problemas de la comunidad allí asentada es la reubicación total de las viviendas.
Las afectaciones presentes o futuras se deben a la acción de los riesgos naturales que sufren las orillas de los ríos y quebradas, no aptas para localización de vivienda ni  otro tipo de infraestructura permanente.</t>
  </si>
  <si>
    <t>Jorge Fidel Castro</t>
  </si>
  <si>
    <t>Mauricio Morales Gómez</t>
  </si>
  <si>
    <t>Sobre el deterioro de la vía se le informa que ésta será reparada después de la próxima semanas, cuando llegue la maquinaria, de acuerdo a la programación que establezca el equipo técnico. Con dicha intervención se espera evitar que los vehículos que transitan por la vía invadan el carril en el punto mencionado y se disminuya el riesgo.
Sobre el ingreso a la propiedad se aclara que no se afectó con la intervención del presente contrato, por lo cual se recomienda prudencia a la hora de salir o entrar a la propiedad.
Sobre el botadero, se notificará a la ingeniera ambiental de interventoría y de obra para que revise el caso y se tomen las medidas correctivas antes del cierre del botadero.</t>
  </si>
  <si>
    <t>Ingeniero Mauricio Rodriguez</t>
  </si>
  <si>
    <t>Se programa visita técnica por parte del Ingeniero Supervisor.</t>
  </si>
  <si>
    <t>La atención dada a esta vía se realizó de acuerdo a la programación y consistíó en un mantenimiento rutinario, sin embargo, se hará una visita técnica por parte del Ingeniero supervisor al punto para evaluarlo.</t>
  </si>
  <si>
    <t>Ingeniero Mauricio Rodriguez
Ingeniero Mauricio Rodriguez</t>
  </si>
  <si>
    <t>08/10/2014
28/10/14</t>
  </si>
  <si>
    <t>PQRS remitida al Ingeniero Supervisor. Pendiente.
Se  informa que la roceria de la vía Autopista-San Luis se comenzara en 15 días, cumpliendo con lo programado.</t>
  </si>
  <si>
    <t>Ingeniero Mauricio Rodriguez
Ing. Augusto Rico</t>
  </si>
  <si>
    <t>08/10/2014
20/10/14
30/10/14</t>
  </si>
  <si>
    <t>Se remite solicitud al contrato de puntos críticos a cargo del ingeniero Augusto Rico.
Se confirma la atención a dicho punto en las próximas semanas.</t>
  </si>
  <si>
    <t>NORTE</t>
  </si>
  <si>
    <t>SAN PEDRO DE LOS MILAGROS</t>
  </si>
  <si>
    <t>ESTEBAN CHAVARRIA TORO</t>
  </si>
  <si>
    <t>La administración municipal remite carta con radicado 201400132066 del 14 de marzo de 2014 donde se notifica la perdida de la calzada sobre la vía el Tambo - Pantanillo, aréa rural del municipio de San Pedro de los Milagros a la altura de la quebrada la Chucha, que ha ido aumentando de manera considerable, solicitando se verifique la situacion a fin de prevenir daños mayores que puedan ocasionar la perdida total de uno de los carriles de circulación.</t>
  </si>
  <si>
    <t>MARINILLA</t>
  </si>
  <si>
    <t>Marinilla - Nuevo Peñol</t>
  </si>
  <si>
    <t>ADRIANA OROZCO VALENCIA</t>
  </si>
  <si>
    <t>EN LA INSTITUCION EDUCATIVA  RURAL  TECNICA DE MARINILLA UBICADA EN LA VEREDA SAN JOSE,  SE SOLICITA LA COMPLETA Y DEBIDA SEÑALIZACIÓN SOBRE EL TRAMO DE LA VÍA  CORRESPONDIENTE A LA INSTITUCIÓN. ACTULMENTE EXISTE YA  UNA HORIZONTAL,  QUE NO ES SUFICIENTE, YA QUE SE HAN PRESENTADO VARIOS ACCIDENTES GRAVES DE TRANSITO CON LOS ESTUDIANTES, POR LO CUAL SE HACE URGENTE LA IMPLEMENTACIÓN DE REDUCTORES DE VELOCIDAD, YA QUE ES UNA VIA BASTANTE RAPIDA Y BIEN RECURRIDA.</t>
  </si>
  <si>
    <t>EL PEÑOL</t>
  </si>
  <si>
    <t>GLORIA PATRICIA OSORIO</t>
  </si>
  <si>
    <t>EN EL MES DE FEBRERO, EL SEÑOR YUBAN ALBERTO OCHOA CARDONA, ME SOLICITO UN PRESTAMO EN CALIDAD DE EMPLEADO DE LA EMPRESA INVERSIONES Y CONSTRUCCIONES JH-MAS S.A.,LA CUAL ERA SUBCONTRATISTA DE PAVCOL,   APOYADO EN LA CARTA QUE ANEXO Y PORTANDO CHALECO DISTINTIVO DE LA GOBERNACION DE ANTIOQUIA, PARA SOLICITAR UN PRESTAMO DE $10.000.000 PARA EL PAGO DE NOMINA DEL 15 AL 31 DE ENERO DE 2014 A EMPLEADOS DE LA OBRA DE MARINILLA, COMPROMETIENDOSE A PAGAR AL MES SIGUIENTE CON LOS INTERESES QUE YO DISPUSIERA. A LA FECHA NO HA SIDO PAGADO EL PRESTAMO Y, EL SEÑOR ARGUENTA QUE A LA EMPRESA, PAVCOL AUN NO LE HA PAGADO EL DINERO. SOLICITO SEA REINTEGRADO MI DINERO, YA QUE LO PRESTÉ CONFIANDO EN QUE ERA PARA PAGAR TRABAJOS DE LA GOBERNACION DE ANTIOQUIA.</t>
  </si>
  <si>
    <t>JOSE OMAR OSORIO RAMIREZ</t>
  </si>
  <si>
    <t>EN LA INSTITUCIÓN EDUCATIVA: PRESBITERO FABIAN SEBASTIAN JIMENEZ FAJARDO, UBICADA EN EL ALTO DEL MERCADO, NO EXISTE SEÑALIZACION  NI HORIZONTAL NI VERTICAL, YA QUE LA QUE HAY ESTÁ UBICADA EN  UN LUGAR QUE NO CORRESPONDE A LA I.E. Y  NO ES PERTINENTE. SE NECESITA SEÑALIZAR EN AMBOS SENTIDOS LA VIA, YA QUE LA I.E ESTA UBICADA EN UNA CURVA Y NO ES VISIBLE PARA LOS TRANSEUNTES Y CONDUCTORES QUE PASAN POR EL LUGAR.
EN EL LUGAR YA SE HAN PRESENTADO VARIOS ACCIDENTES QUE INVOLUCRAN LOS NIÑOS DE LA I.E. YA QUE LA MAYORIA DEBEN CRUZAR LA VIA PARA DIRIGIRSE A SUS HOGARES.</t>
  </si>
  <si>
    <t>TITIRIBÍ</t>
  </si>
  <si>
    <t>Albania - Titiribí</t>
  </si>
  <si>
    <t>CARLOS ANDRES MARQUEZ</t>
  </si>
  <si>
    <t>DE ACUERDO A VISITA REALIZADA A LA VÍA INTERVENIDA EN EJERCICIO DE VEEDURIA DEL TRABAJO A LAS OBRAS SE ENCUENTRA QUE VARIAS OBRAS DE DRENAJE ESTAN TAPADAS, YA SE HIZO ROCERÍA Y LIMPIEZA DE CUNETAS, PERO ESTAS OBRAS NO SE DESTAPARON COMPLETAMENTE.</t>
  </si>
  <si>
    <t>SAN PEDRO DE URABÁ</t>
  </si>
  <si>
    <t>DIEGO CAMILO GOMEZ PEREZ</t>
  </si>
  <si>
    <t>EL PUENTE DE RIO BRAVO DE LA VEREDA PARCELAS DE MACONDO, CORREGIMIENTO SANTA CATALINA, CON GRAVES FALLAS ESTRUCTURALES EN EL PUENTE YA A PUNTO DE COLAPSAR INCOMUNICANDO A LOS CORREGIMIENTOS ARENAS MONAS Y ZAPINDONGA, CON UN APROXIMADO DE 6000 HABITANTES.</t>
  </si>
  <si>
    <t>DAPARD</t>
  </si>
  <si>
    <t>23 al 29 de Septiembre</t>
  </si>
  <si>
    <t>Margarita Gil</t>
  </si>
  <si>
    <t>Ing- Margarita Gil solicita remitir PQRS a Supervisora  del Contrato de Occidente: Ing. Rosario Palacio.</t>
  </si>
  <si>
    <t>08/10/2014
20/10/14</t>
  </si>
  <si>
    <t>Por parte de la SIF se realizó la señalización con pintura en la vía a la altura de la Institución educativa, buscando responder a la necesidad de la comunidad educativa, ahora, actualmente no es posible la realización de resaltos debido a que los recursos del contrato se han distribuido en otros lugares de la región de acuerdo a la programación establecida en el contrato.
Se propone que desde la institución educativa y la alcaldía se realicen alternativas de corresponsabilidad institucional donde se desarrollen mecanismos pedagógicos para los momentos de transito de los estudiantes (por ejm. campañas con estudiantes que anuncian el paso de los demás estudiantes por la vía a las horas de entrada y salida, para que los conductores conozcan la dinámica del tramo de vía y transiten con prudencia).</t>
  </si>
  <si>
    <t xml:space="preserve">Se le informa a la señora Gloria Patricia Osorio que el dinero le fue prestado por un tercero que no representa la empresa PAVCOL, por lo tanto, dicha empresa no solicitó el dinero, ni firmó la solicitud. 
Se le recomienda denunciar formalmente  al señor Yuban Alberto Ochoa Cardona, ante las autoridades competentes, por estafa.  </t>
  </si>
  <si>
    <t>Se informa que por solicitud de la comunidad se realizó la señalización de la Institución Educativa Presbítero Fabián Sebastián Jiménez Fajardo; posteriormente nos enteramos que dicho lugar era provisional para la realización de las actividades educativas, sin embargo, se atendió oportunamente por parte de la Secretaría de Infraestructura Física. 
Debido a que la Institución Educativa ya no queda en dicho lugar, sino en su punto original, se le pide enviar una nueva solicitud indicando el lugar donde actualmente está ubicada la Institución para ser remitida al contrato actual que realiza señalización de manera que evalúen la posibilidad de intervenir el sitio.
Se propone además que desde la Institución Educativa y la Alcaldía realicen alternativas de corresponsabilidad institucional donde se desarrollen mecanismos pedagógicos para los momentos de transito de los estudiantes (por ejm. campañas con estudiantes que anuncian el paso de los demás estudiantes por la vía a las horas de entrada y salida, para que los conductores conozcan la dinámica del tramo de vía y transiten con prudencia).</t>
  </si>
  <si>
    <t>Se remite PQRS a Ingeniera Elizabeth Trijullo. Ingeniero Hernan Gómes realizará visita técnica el 29/10/14.</t>
  </si>
  <si>
    <t>Juan Fernando Franco
Juan Gonzalo Castrillón</t>
  </si>
  <si>
    <t>20/10/2014
20/10/14</t>
  </si>
  <si>
    <t>Remite a PQRS a Juan Gonzalo de proyectos especiales.
El puente no está en las intervenciones a su cargo. Remitir PQRS a la Alcaldía Municipal, quien es responsable de la red vial terciaria,</t>
  </si>
  <si>
    <t>CARAMANTA</t>
  </si>
  <si>
    <t>Valparaiso - Caramanta</t>
  </si>
  <si>
    <t>EL CARMEN DE VIBORAL</t>
  </si>
  <si>
    <t>Marinilla - El Santuario - Carmen de Viboral - Canadá</t>
  </si>
  <si>
    <t>MARIA ELVIRA ALVAREZ</t>
  </si>
  <si>
    <t>PO LA VEREDA YARUMALITO Y CERCA AL PUENTE MILITAR, YA SE HIZO EL RELLENO, FALTA PAVIMENTACION, CON EL PASO DE LAS VOLQUETAS Y CARROS SE LEVANTA POLVO Y SE DETERIORA MAS LA VIA</t>
  </si>
  <si>
    <t>DARIO QUIROZ</t>
  </si>
  <si>
    <t>EL SEÑOR DARIO COMENTA SOBRE LA DIFICULTAD QUE TIENE LA COMUNIDAD Y LOS VISITANTES CON EL CABLE, POR RAZONES COMO EL POZO SEPTICO, EL CUAL TIENE PROBLEMAS DE COLMATAMIENTO Y MALA INSTALACION.
AÑADE QUE EL TENIA UN CONVENIO CON EL CONTRATRISTA ANTERIOR PARA SOLUCIONAR EL PROBLEMA.</t>
  </si>
  <si>
    <t>LUIS HORACIO MESA</t>
  </si>
  <si>
    <t>OLGA YANNET VILLADA</t>
  </si>
  <si>
    <t>LA SEÑORA OLHA YANNET MANIFIESTA QUE LA VIA QUE COMUNICA  AL MUNICIPIO DEL CARMNE DE VIBORAL CON EL MUNICIPIO DE SANTUARIO  APARECE EN EL MAPA  COMO SI ESTUVIERA PAVIMENTADA , SITUACION QUE ES TOTALMENTE FALSA . REFIEREN QUE SUPUESTAMENTE HACE CUATRO AÑOS  FUE PAVIMENTADA Y DICHA INFORMACION FUE SUMINISTRADA  POR EL ALCALDE DE ESA EPOCA  A TRAVES DE UN AVISO  EL INICIO DE LA VIA .</t>
  </si>
  <si>
    <t>Ing. Elizabeth Trujillo
Hernan Giraldo</t>
  </si>
  <si>
    <t>Al respecto se le informa que se requiere esperar a que el material se consolide en el sitio de lleno. 
Así mismo, el próximo año (2015), con recursos de dicha vigencia, se realizará el reparcheo.</t>
  </si>
  <si>
    <t>Ya se realizó visita para verificar el estado de los pozos. El tema será abordado en próximo comité de obra.</t>
  </si>
  <si>
    <t>Fernando Cortés Vela</t>
  </si>
  <si>
    <t>Se le informa al Señor Horacio Mesa que el contrato del CTA fue para la realización de los  Planes viales subregionales participativos, en los cuales no se realizaban intervenciones de obra ni se proyectaban intervenciones en las mismas.
Así mismo se aclara que l Gobernación no está haciendo apertura de vías. 
Sobre el convite, se le recomienda realizar una solicitud formal por medio del alcalde, a la gobernación, para ser tenida en cuenta en la programación de convites del próximo año.</t>
  </si>
  <si>
    <t>Jorge Fidel Castro Ruiz</t>
  </si>
  <si>
    <t xml:space="preserve">Se le informa que en el inventario de la red vial de Antioquia (circular 8 de 2014) la vía secundaria  con código 60AN15-1  Marinilla-El Santuario-Carmen de Viboral no aparece paviemntáda (de 28,9 km, 23,5 km se registran no pavimentados). Por lo tanto el mapa está desactualizado y contiene una proyección de pavimentación que se le quiere hacer a la vía, la cual está todavía en proyecto. 
</t>
  </si>
  <si>
    <t>30 de Septiembre al 6 de Octubre</t>
  </si>
  <si>
    <t>FREDY OCAMPO GOMEZ</t>
  </si>
  <si>
    <t>EN LA VIA MARINILLA-NUEVO PEÑOL Y  PEÑOL-GUATAPE-SAN RAFAEL; EN ALGUNOS PUNTOS VITALES PARA LA COMUNIDAD, SE EVIDENCIA FALTA DE SEÑALIZACIÓN, LO QUE GENERA ACCIDENTES Y PONE EN PELIGRO LA VIDA DE LOS TRANSEUNTES Y LOS NIÑOS DE LAS INSTITUCIONES EDUCATIVAS QUE QUEDAN EN LA VIA.
LOS PUNTOS IDENTIFICADOS SON:
•	C.E.R.  HORIZONTES  
•	C.E.R.  PALESTINA
•	PUENTE DE LA MARINA, LIMITE ENTRE EL PEÑOL Y GUATAPE
•	ANTIGUO RELLENO SANITARIO (VISIBILIDAD)
•	CRUCE DE LA RÉPLICA (VÍA SAN VICENTE)
•	PUENTE COLGANTE (CURVA DE LOS PESCADOS)
•	ENTRADA A LA VEREDA CHIQUINQUIRA, NO SE INTERVINO LA BAHIA, EL RETORNO</t>
  </si>
  <si>
    <t>URIEL RAMIREZ ALZATE</t>
  </si>
  <si>
    <t>EN LA INSTITUCION EDUCATIVA DE LA VEREDA LA MILAGROSA, NO HAY SEÑALIZACION EN LA VIA, POR LOS CUAL SE PONE EN PELIGRO LA INTEGRIDAD FISICA DE LOS NIÑOS QUE ESTUDIAN EN LA INSTITUCION; POR ESTO SE SOLICITA UNA ADECUADA SEÑALIZACION DE LA VIA DE FORMA VERTICAL Y HORIZONTAL.</t>
  </si>
  <si>
    <t>7 al 13 de Octubre</t>
  </si>
  <si>
    <t>FRONTINO</t>
  </si>
  <si>
    <t>Chorodó (Ruta 62) - Frontino</t>
  </si>
  <si>
    <t>HECTOR AUGUSTO USUGA</t>
  </si>
  <si>
    <t>SE SOLICITA POR PARTE DEL SEÑOR HECTOR AUGUSTO USUGA (DOCENTE) EL ARREGLO DE LA ENTRADA AL CENTRO EDUCATIVO RURAL LAS CRUCES , QUE QUEDA AL BORDE DE LA VIA, QUE SE ESTA INTERVINIENDO, CON EL PROPOSITO DE MEJORAR LA MOVILIDAD DE LOS ESTUDIANTES  Y  EL AMBIENTE ESCOLAR, HAY SALIDA DE AGUAS RESIDUALES Y LLUVIAS OCASIONANDO RIESGOS PARA LA MOVILIDAD DE LOS NIÑOS; ADEMAS SE SOLICITA VOLVER A INSTALAR LOS REDUCTORES DE VELOCIDAD EXISTENTES ANTERIORMENTE Y COLOCAR SEÑALIZACIÓN TANTO DE LOS REDUCTORES DE VELOCIDAD COMO DE ZONA ESCOLAR.</t>
  </si>
  <si>
    <t>RAMON ANTONIO PIEDA CRUZ</t>
  </si>
  <si>
    <t>SE RECIBE SOLICITUD DEL SEÑOR RAMON ANTONIO, QUIEN MANIFIESTA QUE LA VIA CON EL ARREGLO QUE ESTA RECIBIENDO, ESTA QUEDANDO UNA VIA RAPIDA, POR LO QUE SE HACE PELIGROSA PARA LA COMUNIDAD ALEDAÑA, LA SOLICITU SE HACE ESPECIFICAMENTE CON LA CONTRUCCION DE DOS REDUCTORES DE VELOCIDAD, DADO QUE EN EL SECTOR SE ENCUENTRA LA IGLESIA Y UN ESTADERO/TIENDA DE CONTINUO TRANSITO, (HA OCUURIDO UN IMPREVISTO CON UN VEHICULO QUE CASI ATROPELLA UN NIÑO) EL SEÑOR RAMON SE ENCUENTRA EN ESTADO DE DISCAPACIDAD (SILLA DE RUEDAS) Y REQUIERE LA VIA PARA CRUZAR A LA IGLESIA</t>
  </si>
  <si>
    <t>RODRIGO DE J. BETANCUR</t>
  </si>
  <si>
    <t>EL SEÑOR RODRIGO MANIFIESTA QUE DEBIDO AL RELCE QUE SE HIZO EN LA OBRA, LA VIA QUEDO MAS ALTA DEL NIVEL EXISTENTE, OCASINANDO INUNDACION EN EL PAVIMENTO Y DAÑO A LA VIA, SE SUGIERE CONTRUCCION DE UN CANAL EN CONCRETO.</t>
  </si>
  <si>
    <t>NICOLAS DE JESUS PEREZ</t>
  </si>
  <si>
    <t>EL SEÑOR NICOLAS MANIFIESTA QUE TRES CAÑADAS CONFLUYEN EN MISO SITIO, UNA DE ELLAS NO TIENE SALIDA DE AGUA, OCASIONANDO INUNDACION EN PREDIOS SEÑOR Y EN LA VIA, SE SOLICTA LA POSIBILIDAD DE BUSCAR SALIDA DEA AGUAS EN TUBERIA DE 36", O CONSTRUCCION DE UNA BOX COULVER</t>
  </si>
  <si>
    <t>ABEJORRAL</t>
  </si>
  <si>
    <t>La Ceja - Guaico Grande - Abejorral</t>
  </si>
  <si>
    <t>ARCESIO GARCIA</t>
  </si>
  <si>
    <t>ACTUALMENTE EN LA VIA LA CEJA-GUAICO GRANDE- ABEJORRAL, EN EL SITIO CONOCIDO COMO EL BUEY SE ENCUENTRA CERRADA, AL PARECER POR OBRAS QUE ADELANTA EMPRESAS PÚBLICAS DE MEDELLÍN EN LA ZONA; ESTA SITUACION YA SE HA PRESENTADO EN VARIAS OPORTUNIDADES Y SIEMPRE ES  DE FORMA ARBITRARIA, SIN INFORMARLE A LA COMUNIDAD NI A LA ADMINISTRACION MUNICIPAL.  ESTA SITUACIÓN PERJUDICA ENORMEMENTE A LA COMUNIDAD YA QUE ES PASO OBLIGADO PARA LOS HABITANTES DE 9 VEREDAS DEL SECTOR, EL CIERRE DE LA VIA IMPLICA QUE NO HAYA TRANSPORTE PUBLICO, Y QUE LOS CAMIONES QUE  RECOGEN LA PRODUCCION AGRICOLA DE LA ZONA TENGAN QUE UTILIZAR OTRAS VIAS ALTERNAS, LO QUE AUMENTA LOS COSTOS DEL TRANSPORTE, ADEMAS SE GENERAN DIFICULTADES DE TRANSPORTE PARA LA COMUNIDAD YA QUE DEBEN TOMAR VEHÍCULOS PARTICULARES PARA SU DESPLAZAMIENTO A LAS CABECERAS MUNICIPALES, O CAMINAR VARIAS HORAS PARA LLEGAR A LA MESETA, SITIO DONDE PASA EL BUS QUE COMUNICA LA VIA LA CEJA-ABEJORRAL. SE SOLICITA QUE LA VIA SEA ABIERTA O HABILITADA POR HORAS LO ANTES POSIBLE.</t>
  </si>
  <si>
    <t>GUARNE</t>
  </si>
  <si>
    <t>PAULA ANDREA GALLEGO</t>
  </si>
  <si>
    <t>SE SOLICITA SEÑALIZACION VERTICAL Y HORIZONTAL,  REDUCTORES DE VELOCIDAD EN LA VIA AUTOPISTA - SAN VICENTE:
1-EN LA ESCUELA PEDRO EMILIO MONTOYA  UBICADA EN LA VEREDA EL GUAMITO (GUARNE) SOBRE   LA VÍA AUTOPISTA- SAN VICENTE,  EN DONDE ESTUDIAN 60 NIÑOS(AS) DESDE PREESCOLAR HASTA 5ª DE PRIMARIA. EL PASADO 25 DE MARZO DE 2014  REAIZARON  ESTA SOLICITUD AL CONSORCIO INTERVENTORIA DE ANTIOQUIA.
2 -EN LA CONGREGACION HIJAS DEL FIAT   Y SU CENTRO DE CELEBRACIONES LLAMADO AVE MARIA PUESTO QUE DIARIAMENTE  SE CONGREGAN  ALREDEDOR DE 100 PERSONAS PARA UN APROXIMADO DE 3.000 MENSUALES. HACE 20 DIAS UNA MUJER FUE ATROPELLADA EN LA ENTRADA A LA CONGREGACION  Y SE ENCUENTRA EN SILLA DE RUEDAS .
3- EN LA CORPORACION SAN MIGUEL ARCANGEL  EN DONDE SE ATIENDEN A  NIÑOS(AS)  CON DISCAPACIDAD Y  A LOS ADULTOS MAYORES.</t>
  </si>
  <si>
    <t>14 al 20 de Octubre</t>
  </si>
  <si>
    <t>28 de Octubre al 4  de Noviembre</t>
  </si>
  <si>
    <t>Edier López
Augusto Rico
Gabriel Olaya
Gladys Hernandez</t>
  </si>
  <si>
    <t>12/11/2014
13/11/2014
2/12/2014
03/01/2015</t>
  </si>
  <si>
    <t>Se programa visita técnica al sitio para la segunda semana de diciembre. 
Iran los Ingenieros: 
Gabriel Olaya de la Dirección de Proyectos Estratégicos y Edier López de la Dirección de Desarrollo Físico.
La ingeniera Gladys Hernández proyecta respuesta.</t>
  </si>
  <si>
    <t xml:space="preserve">03/12/2014
</t>
  </si>
  <si>
    <t>Ing. Hernán Giraldo</t>
  </si>
  <si>
    <t>De acuerdo al Supervisor del contrato de "Mejoramiento, rehabilitación, mantenimiento y construcción de obras complementarias en la red vial de la Subregión Suroeste del Departamento de Antioquia", ingeniero Hernán Giraldo Atehortúa, sobre la vía secundaria: (60AN04) Remolino - Hispania - Puerto Boy - La Bodega - Andes - Jardín - Alto de Ventanas, con longitud de 62.8 Km, de los cuales 48.5 Km están pavimentados y 14.3 Km en afirmado (Inventario de la red vial del Departamento de Antioquia. Vías para el desarrollo y la educación. Actualizado a Julio de 2014), se informa que hasta la fecha la vía se ha intervenido con las siguientes actividades y obras:
•         Obras de drenaje
•         Recuperación de la calzada
•         Parcheo
•         Atención de pérdidas de banca
•         Estabilización de tramos inestables
•         Señalización
•         Remoción de derrumbes
En el tramo Jardín - Alto de Ventanas y específicamente en el tramo de afirmado, se ha conformado la calzada, se ha colocado afirmado, y se han construido obras de drenaje y de estabilización; y en el tramo pavimentado se está evaluando la alternativa más favorable desde el punto de vista técnico y económico para la recuperación del pavimento; trabajos que se realizarán el próximo año, como se le comentó al Alcalde y a la Secretaria de Planeación en la reunión referenciada en la solicitud.
Los recursos invertidos hasta la fecha en la vía (60AN04) Remolino - Hispania - Puerto Boy - La Bodega - Andes - Jardín - Alto de Ventanas, son del orden de SEIS MIL MILLONES DE PESOS M.L.V. $6.000'000.000.
Para cualquier información adicional, contactar al ingeniero Hernán Giraldo Atehortúa, Supervisor del Contrato al teléfono: 3837939, correo electrónico: hernan.giraldo@antioquia.gov.co</t>
  </si>
  <si>
    <r>
      <t>Efectivamente la vía (05890VT95) Yolombó-Vereda La Cruz pertenece a la Red Vial Terciaria, por lo tanto a la jurisdicción del Municipal. 
Dada su jerarquía de tercer orden, corresponde a la "</t>
    </r>
    <r>
      <rPr>
        <i/>
        <sz val="8"/>
        <color theme="1"/>
        <rFont val="Calibri"/>
        <family val="2"/>
        <scheme val="minor"/>
      </rPr>
      <t>red compuesta por las vías de acceso que unen las cabeceras municipales con sus veredas o unen veredas entre si"</t>
    </r>
    <r>
      <rPr>
        <sz val="8"/>
        <color theme="1"/>
        <rFont val="Calibri"/>
        <family val="2"/>
        <scheme val="minor"/>
      </rPr>
      <t xml:space="preserve">, y de acuerdo con la Ley 105/93 es una carretera distrital o municipal, o sea, </t>
    </r>
    <r>
      <rPr>
        <u/>
        <sz val="8"/>
        <color theme="1"/>
        <rFont val="Calibri"/>
        <family val="2"/>
        <scheme val="minor"/>
      </rPr>
      <t>"vías urbanas y/o rurales a cargo de los distritos o de los municipios"</t>
    </r>
    <r>
      <rPr>
        <sz val="8"/>
        <color theme="1"/>
        <rFont val="Calibri"/>
        <family val="2"/>
        <scheme val="minor"/>
      </rPr>
      <t xml:space="preserve">.
Por lo tanto, a pesar de comunicar dos municipios, su jerarquia es terciaria y su competencia municipal, por lo cual no entraría a ser parte de la red vial secundaria.
Aclaración: 
</t>
    </r>
    <r>
      <rPr>
        <i/>
        <sz val="8"/>
        <color theme="1"/>
        <rFont val="Calibri"/>
        <family val="2"/>
        <scheme val="minor"/>
      </rPr>
      <t>Por el documento COMPES 2965 de 1997 se define: 
Red vial secundaria (o de segundo orden) se entiende la red compuesta por aquellas vías que unen cabeceras municipales entre si y/o son accesos a la red troncal y transversal  (o de primer orden)</t>
    </r>
    <r>
      <rPr>
        <sz val="8"/>
        <color theme="1"/>
        <rFont val="Calibri"/>
        <family val="2"/>
        <scheme val="minor"/>
      </rPr>
      <t>.</t>
    </r>
  </si>
  <si>
    <r>
      <t xml:space="preserve">EL SEÑOR HORACIO CONCEJAL DEL MUNICIPIO SOLICITÓ INFORMACIÓN SOBRE UN ACUERDO QUE EL MUNICIPIO HIZO DURANTE EL CONTRATO DEL CTA,  DONDE SE PROMETIO A LA COMUNIDAD DE LA MESETA Y QUEBRADA BONITA, ABRIR 900MTRS DE VIA QUE FALTAN PARA LLEGAR AL TRAPICHE PANELERO QUE HAY EN LA ZONA Y QUE REPRESENTA UNA FUENTE DE EMPLEO PARA MUCHOS, PERO QUE POR PROBLEMAS DE TRANSITABILIDAD NO LOGRAN DINAMIZAR EL NEGOCIO COMO SE REQUIERE.
</t>
    </r>
    <r>
      <rPr>
        <b/>
        <sz val="8"/>
        <color rgb="FFFFC000"/>
        <rFont val="Calibri"/>
        <family val="2"/>
        <scheme val="minor"/>
      </rPr>
      <t>Este texto no corresponde fielmente con el del papel....</t>
    </r>
  </si>
  <si>
    <t>SANDRA PATRICIA MAZO SALAS</t>
  </si>
  <si>
    <t>El dia 15 de diciembre de 2014, se inició obra en la vía Peque - El Llano, vía ganadora del concurso "Todos por el caminio de mi vereda". Para este día la maquinaria de RENTAN, empieza con trabajos de perfilación de la vía, de este proceso se tiene un sobrante de material, que es llevado a un depósito final de material, autorizado por el señor Leonardo Mazo Salas herano de la señora Sandra Patricia Mazo, quien coloca esta solicitud; cerca de dicho depósito pasan unos cables de luz eléctrica los cuales fueron revenados por el operador de la máquina, ocasionando un corto circuito, dicho corto a su vez ocasina daño a un electrodoméstico (nevera) de la señora Sandra Patricia Mazo, quien solicita que se responda por el daño de su nevera, ya sea reparación de tener arreglo o reemplazo por una nueva.
La nevera marca Mabe de 242 litros y entre 5 - 6 pies de altura, produce escarcha.
NOTA: no hay registro fotografico, no se habló con el conductor de la maquina y noy nmbre del mismo.
Se sugiere a la señora hablar con el directamente responsable del daño "conductor de la máquina"
se anexa carta que la señora envía a EPM y la respuesta que este entidad le da a su carta.</t>
  </si>
  <si>
    <t>Sofia - Yolombó</t>
  </si>
  <si>
    <t>JAIRO MONSALVE</t>
  </si>
  <si>
    <t>DURANTE EL PASO DE LA MAQUINARIA SE PRESENTARON DAÑOS EN DOS SECTORES DE LA TUBERIA DE LA VEREDA SOFIA. LOS INGENIEROS DEL CONSORCIO CONTRATISTA LE PIDIERON A LA COMUNIDAD QUE REALIZARA LOS ARREGLOS Y LA JAC DE SOFIA LOS EJECUTO, SIN HABER RECIBIDO HASTA EL MOMENTO LOS GASTOS POR MANO DE OBRA Y MATERIALES DE DICHO ARREGLO.</t>
  </si>
  <si>
    <t>LA INTERVENCION DE LA VIA HA OCASIONADO EL AUMENTO DE LA VELOCIDAD DE LOS VEHICULOS QUE SE MOVILIZAN POR ESTA, AUMENTANDO EL RIESGO DE ACCIDENTES Y PONIENDO EN PELIGRO LA INTEGRIDAD Y VIDA DE LOS HABITANTES QUE SE UBICAN ALREDEDOR DE LA VIA. POR LO TANTO, SE SOLICITA ADECUACION DE RESALTOS SOBRE TODO EN LOS CENTROS EDUCATIVOS RURALES DE LAS VEREDAS SOFIA Y EL BOSQUE.</t>
  </si>
  <si>
    <t>MARIA BALBANERA</t>
  </si>
  <si>
    <t>APROXIMADAMENTE EN EL KM2+500 DE LA VIA SOFIA - YOLOMBO, SE ENCUENTRAN DETERIORADAS LAS ESCALAS POR DONDE CAE EL AGUA DE DOS CUNETAS, POR LO QUE LA CIUDADANA PIDE UNA NUEVA INTERVENCION DE DICHAS ESCALAS YA QUE RECIBEN MUCHA AGUA Y SE CORRE EL RIESGO DE PERDIDA DE BANCA POR EL ESTANCAMIENTO DE LAS AGUAS.</t>
  </si>
  <si>
    <t>CECILIO ZULUAGA</t>
  </si>
  <si>
    <t>Social</t>
  </si>
  <si>
    <t>QUEJA POR LA FORMA COMO EL CONTRATISTA ESTA CONTRATANDO LA MANO DE OBRA NO CALIFICADA DEL SECTOR, YA QUE NO SE ESTA RESPETANDO EL ACUERDO DE PALABRA QUE SE REALIZO EN LA SOCIALIZACION DE INICIO QUE CONSISTE EN QUE LA MANO DE OBRA LOCAL SE CONTRATARIA A TRAVES DE LA ASOCOMUNAL Y LAS CORRESPONDIENTES JAC, SINO QUE SE HA CONTRATADO A PERSONAS SIN TENER EN CUENTA A LAS JAC PARA ESTE TRAMITE.</t>
  </si>
  <si>
    <t>20 al 26 de Enero</t>
  </si>
  <si>
    <t>RESPUESTA 2014</t>
  </si>
  <si>
    <t>RESPUESTA 06/02/2015</t>
  </si>
  <si>
    <t xml:space="preserve">Juan David Loaiza Gallego </t>
  </si>
  <si>
    <t xml:space="preserve">Claudia Andrea Borrego García </t>
  </si>
  <si>
    <t>RESPUESTA 10/02/2015</t>
  </si>
  <si>
    <t>Hernán Giraldo Atehortúa</t>
  </si>
  <si>
    <t>COCORNÁ</t>
  </si>
  <si>
    <t>Autopista - Cocorná</t>
  </si>
  <si>
    <t>DARWIN DUQUE QUINTERO</t>
  </si>
  <si>
    <t>SE RECIBE SOLICITUD DEL HONORABLE CONCEJO MUNICIPAL  Y DEL SECRETARIO DE PLANEACION DEL MUNICIPO DE COCORNA,  PARA REALIZARLE MANTENIMIENTO A  LA VIA AUTOPISTA COCORNA, LA CUAL ES  LA PRINCIPAL VIA DE ACCESO AL MUNICIPIO Y QUE SE ENCUENTRA EN MUY MAL ESTADO, NO HAY SEÑALIZACIONES NI SEQUIERA EN LA INSTITUCION EDUCATIVA QUE SE ENCUENTRA SOBRE LA VIA, HAY MUCHOS HUECOS, DESNIVELES DE LA CARPETA DE RODADURA, DESLIZAMIENTOS EN DOS PUNTOS ESPECIFICOS Y PERDIDA DE LA BANCA EN EL KILOMETRO 6+500 SITIO QUE TUVO QUE SER SEÑALIZADO POR LA MISMA COMUNIDAD PORQUE YA SE HAN PRESENTADO ACCIDENTES DE MOTOCICLISTAS, LLLLL SE SOLICITA SE HAGA UN RECORRIDO DE LA VIA POR PARTE DE LA SIF Y UNA INTERVENCION INMEDIATA.
POR SOLICITUD DEL CONCEJO EN PLENO LA GESTION SOCIAL  REALIZA UN RECORRIDO INICIAL DE LA VÍA (60AN 17) SEHICIERON VARIAS TOMAS FOTOGRÁFICAS DEL ENTORNO Y ESPECIALMENTE DE ALGUNOS SITIOS IDENTIFICADOS POR LOS CONCEJALES, EL SECRETARIO DE PLANEACION Y LA COMUNIDAD.
LOS PUNTOS IDENTIFICADOS SON LOS SIGUIENTES:
KM 0+100, 0+300, 1+700, DERRUMBES  PEQUEÑOS.
KM 0+900 IER LA MILAGROSA, SIN SEÑALIZACIÓN.
KM1+200, KM 4 HUECO PERMANENTE.
KM2 FISURA EN LA VÍA.
KM2+300 VÍA HUNDIDA.
KM 3+800 HASTA 3+900 EL REPARCHEO ESTÁ FISURADO.
KM3+900 VEREDA MAZOTES, SIN SEÑALIZACIÓN
KM4+800 4+900 FISURA EN LA VÍA.
5+500 A 5+600 REDUCCIÓN DE LA VÍA POR DERRUMBE.
6+200 FISURA.
6+500 IDENTIFICACIÓN DE PUNTO CRÍTICO, PÉRDIDA DE LA BANCA, SEÑALIZADO POR LA COMUNIDAD
6+550 HUECO, PÉRDIDA DE BANCA, BOX CULVERT.</t>
  </si>
  <si>
    <t>El Tres - San Pedro de Urabá</t>
  </si>
  <si>
    <t>ALEJANDRA GONZÁLEZ GIRALDO</t>
  </si>
  <si>
    <t>SE PRESENTA CIERRE DE LA VIA SIN NINGUNA CLASE DE SOCIALIZACION APARENTE NI CON LA COMUNIDAD, HOSPITAL, AUTORIDAD MUNICIPAL.  EN OCASIONES HAY URGENCIAS VITALES CUYA UNICA VIA ES EL TRES-SAN PEDRO DE URABÁ, POR DONDE LLEVAN LOS PACIENTES A CHIGORODO, LA INFORMACION DE CIERRE DE VIA LLEGA EXTRAOFICIALMENTE POR PARTE DE UN TRANSPORTADOR.</t>
  </si>
  <si>
    <t>3 al 9 de Febrero</t>
  </si>
  <si>
    <t xml:space="preserve">María Katherine Roa </t>
  </si>
  <si>
    <t>En Trámite</t>
  </si>
  <si>
    <t>Claudia Andrea Borrego García
Amallia (Gestora Social de la Interventoría)</t>
  </si>
  <si>
    <t>Elizabeth Trujillo Vásquez
Jaime Eduardo Correa Escobar (RES. CONSORCIO 23.)</t>
  </si>
  <si>
    <t>María Del Rosario Palacio Sánchez</t>
  </si>
  <si>
    <t>Sin Respuesta</t>
  </si>
  <si>
    <t>Resuelto</t>
  </si>
  <si>
    <t>Henry Alzate Aguirre
Lucia Sandoval Cardona</t>
  </si>
  <si>
    <t>Libardo Augusto Rico Giraldo</t>
  </si>
  <si>
    <t xml:space="preserve"> Nidia Zoraida Vásquez Arteaga (Consulta)</t>
  </si>
  <si>
    <r>
      <rPr>
        <b/>
        <sz val="8"/>
        <color theme="1"/>
        <rFont val="Calibri"/>
        <family val="2"/>
        <scheme val="minor"/>
      </rPr>
      <t xml:space="preserve">RESPUESTA </t>
    </r>
    <r>
      <rPr>
        <sz val="8"/>
        <color theme="1"/>
        <rFont val="Calibri"/>
        <family val="2"/>
        <scheme val="minor"/>
      </rPr>
      <t xml:space="preserve">
Medellín, 04 de febrero de 2015.
Señora
ANA MARIA RENGIFO
Presidente Junta de Acción Comunal
Vereda Bélgica (Japón)
Teléfono 3122563574
Municipio de Vegachí
Asunto: Atención a PQR en la troncal Nordeste 62AN21-5 vía Vegachí - Remedios
Atendiendo su solicitud relacionada con el taponamiento de obra en la vereda Bélgica, sector el Japón del municipio de Vegachí, entre la cabecera municipal y el corregimiento El Tigre, realizamos visita técnica en el mes de diciembre de 2014, donde pudimos evidenciar el represamiento del agua que según su información era un arroyuelo que atravesaba la vía y que debido al taponamiento de la obra, se viene represando en la margen izquierda de la misma.
Le comunicamos que las obras necesarias para dar solución al problema en mención, serán ejecutadas en esta vigencia presupuestal.
Atentamente,
JULIAN DAVID SIERRA TAMAYO
Director Desarrollo Físico
Secretaría de Infraestructura Física.
</t>
    </r>
  </si>
  <si>
    <t>RESPUESTA 17/02/2015</t>
  </si>
  <si>
    <t>En trámite</t>
  </si>
  <si>
    <r>
      <rPr>
        <b/>
        <sz val="8"/>
        <color theme="1"/>
        <rFont val="Calibri"/>
        <family val="2"/>
        <scheme val="minor"/>
      </rPr>
      <t>Trámite 2: 12 de Febrero 2015</t>
    </r>
    <r>
      <rPr>
        <sz val="8"/>
        <color theme="1"/>
        <rFont val="Calibri"/>
        <family val="2"/>
        <scheme val="minor"/>
      </rPr>
      <t xml:space="preserve">
La supervisora María Del Rosario Palacio Sánchez entrega en físico los comunicados  que soportan el motivo de cierre de la vía, se envía documentos adjuntos al correo electrónico de la gestora social Alba Isabel Gallego Montoya, la solicitud está abierta a la espera del recibo de satisfacción del solicitante
</t>
    </r>
  </si>
  <si>
    <r>
      <rPr>
        <b/>
        <sz val="8"/>
        <color theme="1"/>
        <rFont val="Calibri"/>
        <family val="2"/>
        <scheme val="minor"/>
      </rPr>
      <t>Trámite 1: 10 de Febrero 2015</t>
    </r>
    <r>
      <rPr>
        <sz val="8"/>
        <color theme="1"/>
        <rFont val="Calibri"/>
        <family val="2"/>
        <scheme val="minor"/>
      </rPr>
      <t xml:space="preserve">
La supervisora María Del Rosario Palacio Sánchez encargada de la zona de Urabá, se encontraba en campo y por medio telefónico a través de Gloria Robledo (Funcionaria de la parte de Ambiental) comenta que la vía fue cerrada por colocación de tuberías en transversales y se avisó previamente con una circular, la PQRS se pretende responder el día jueves (12/02/2015) con el visto bueno de la Supervisora.
</t>
    </r>
  </si>
  <si>
    <r>
      <rPr>
        <b/>
        <sz val="8"/>
        <color theme="1"/>
        <rFont val="Calibri"/>
        <family val="2"/>
        <scheme val="minor"/>
      </rPr>
      <t>Trámite 1: 12 de Febrero 2015</t>
    </r>
    <r>
      <rPr>
        <sz val="8"/>
        <color theme="1"/>
        <rFont val="Calibri"/>
        <family val="2"/>
        <scheme val="minor"/>
      </rPr>
      <t xml:space="preserve">
Se reporta PQRS a la supervisora María Del Rosario Palacio Sánchez, aclara que si se hizo el compromiso en la socialización, se hizo mantenimiento a los 5 Kms a través del contrato de maquinaria con RENTAN y en cuanto al Box Coulvert se tiene programa y presupuesta su ejecución a la espera de los diseños por parte del contratista (CONSORCIO ANTIOQUIA VIAL 022).</t>
    </r>
  </si>
  <si>
    <r>
      <rPr>
        <b/>
        <sz val="8"/>
        <color theme="1"/>
        <rFont val="Calibri"/>
        <family val="2"/>
        <scheme val="minor"/>
      </rPr>
      <t>Trámite 1: 12 de Febrero 2015</t>
    </r>
    <r>
      <rPr>
        <sz val="8"/>
        <color theme="1"/>
        <rFont val="Calibri"/>
        <family val="2"/>
        <scheme val="minor"/>
      </rPr>
      <t xml:space="preserve">
Se reporta PQRS al supervisor Juan Fernando Franco Uribe, informa que la intervención está  incluido en el contrato de atención a puentes, con pronta iniciación que depende de la programación física-financiera y los resultados del estudio de patologías del puente, informa también que se envió un oficio con respuesta de la solicitud al alcalde (15/12/2014), la PQRS está en trámite a la espera de verificar el acuerdo entre las partes.
</t>
    </r>
  </si>
  <si>
    <r>
      <rPr>
        <b/>
        <sz val="8"/>
        <color theme="1"/>
        <rFont val="Calibri"/>
        <family val="2"/>
        <scheme val="minor"/>
      </rPr>
      <t xml:space="preserve">Trámite 1: 11 de Febrero 2015 </t>
    </r>
    <r>
      <rPr>
        <sz val="8"/>
        <color theme="1"/>
        <rFont val="Calibri"/>
        <family val="2"/>
        <scheme val="minor"/>
      </rPr>
      <t xml:space="preserve">
Se reporta PQRS a Elizabeth Trujillo Vásquez (Ingeniera Apoyo de la Dirección de Desarrollo) quien se encuentra dando respuesta a la solicitud, siendo el mismo caso de la PQRS con ID 8025.
</t>
    </r>
  </si>
  <si>
    <r>
      <rPr>
        <b/>
        <sz val="8"/>
        <color theme="1"/>
        <rFont val="Calibri"/>
        <family val="2"/>
        <scheme val="minor"/>
      </rPr>
      <t xml:space="preserve">Trámite 1: 11 de Febrero 2015 </t>
    </r>
    <r>
      <rPr>
        <sz val="8"/>
        <color theme="1"/>
        <rFont val="Calibri"/>
        <family val="2"/>
        <scheme val="minor"/>
      </rPr>
      <t xml:space="preserve">
Se reporta PQRS al supervisor Hernán Giraldo Atehortúa y comenta que durante el contrato de mantenimiento de las vías de suroeste, se ha estado realizando cada dos meses rocería y limpieza. En esta vía específicamente se estará reanudando el mantenimiento a principios del mes de marzo. La PQRS está en trámite mientras se adjunta un oficio de respuesta para  la Secretaria de Planeación, el señor Carlos Andres Marquez.
</t>
    </r>
  </si>
  <si>
    <r>
      <rPr>
        <b/>
        <sz val="8"/>
        <color theme="1"/>
        <rFont val="Calibri"/>
        <family val="2"/>
        <scheme val="minor"/>
      </rPr>
      <t xml:space="preserve">Trámite 1: 11 de Febrero 2015 </t>
    </r>
    <r>
      <rPr>
        <sz val="8"/>
        <color theme="1"/>
        <rFont val="Calibri"/>
        <family val="2"/>
        <scheme val="minor"/>
      </rPr>
      <t xml:space="preserve">
Se reporta PQRS al supervisor Hernán Giraldo Atehortúa y comenta que se tiene programada la pavimentación para mediados del mes de marzo, la PQRS queda en trámite a esperas de una respuesta oficial o que efectivamente la comunidad evidencie las labores de la obra.
</t>
    </r>
  </si>
  <si>
    <r>
      <rPr>
        <b/>
        <sz val="8"/>
        <color theme="1"/>
        <rFont val="Calibri"/>
        <family val="2"/>
        <scheme val="minor"/>
      </rPr>
      <t xml:space="preserve">Trámite 1: 11 de Febrero 2015 </t>
    </r>
    <r>
      <rPr>
        <sz val="8"/>
        <color theme="1"/>
        <rFont val="Calibri"/>
        <family val="2"/>
        <scheme val="minor"/>
      </rPr>
      <t xml:space="preserve">
Se reporta PQRS primeramente  a la Gestora Social Nidia Zoraida Vásquez Arteaga para verificar el estado actual de la solicitud, la cual está en trámite mientras la Gestora verifica paz y salvos dados por la interventoría. 
</t>
    </r>
  </si>
  <si>
    <r>
      <rPr>
        <b/>
        <sz val="8"/>
        <color theme="1"/>
        <rFont val="Calibri"/>
        <family val="2"/>
        <scheme val="minor"/>
      </rPr>
      <t>Trámite 1: 11 de Febrero 201</t>
    </r>
    <r>
      <rPr>
        <sz val="8"/>
        <color theme="1"/>
        <rFont val="Calibri"/>
        <family val="2"/>
        <scheme val="minor"/>
      </rPr>
      <t xml:space="preserve">5 
Se reporta PQRS primeramente  a la Gestora Social Nidia Zoraida Vásquez Arteaga para verificar el estado actual de la solicitud, la cual está en trámite mientras la Gestora verifica paz y salvos dados por la interventoría. 
</t>
    </r>
  </si>
  <si>
    <r>
      <rPr>
        <b/>
        <sz val="8"/>
        <color theme="1"/>
        <rFont val="Calibri"/>
        <family val="2"/>
        <scheme val="minor"/>
      </rPr>
      <t>Trámite 4: 11 de Febrero 2015</t>
    </r>
    <r>
      <rPr>
        <sz val="8"/>
        <color theme="1"/>
        <rFont val="Calibri"/>
        <family val="2"/>
        <scheme val="minor"/>
      </rPr>
      <t xml:space="preserve">
La interventoría aprueba la ejecución del disipador por correo electrónico, la Elizabeth Trujillo Vásquez solicita informar la fecha de inicio de las actividades constructivas. La PQRS está en trámite a la espera de la ejecución de la obra por parte del contratista.
</t>
    </r>
  </si>
  <si>
    <r>
      <rPr>
        <b/>
        <sz val="8"/>
        <color theme="1"/>
        <rFont val="Calibri"/>
        <family val="2"/>
        <scheme val="minor"/>
      </rPr>
      <t xml:space="preserve">Trámite 1: 11 de Febrero 2015 </t>
    </r>
    <r>
      <rPr>
        <sz val="8"/>
        <color theme="1"/>
        <rFont val="Calibri"/>
        <family val="2"/>
        <scheme val="minor"/>
      </rPr>
      <t xml:space="preserve">
Se reporta PQRS al ingeniero Libardo Augusto Rico Giraldo ya que el supervisor de Oriente está en el momento en campo (Andrés Mauricio Rodríguez Collazos) y no fue posible comunicarse con él.  Uno de los puntos mencionados (Km 12 + 700) en la solitud está en el presupuesto del contrato de Atención a Puntos Críticos, el ingeniero Libardo Augusto Rico Giraldo, programara una visita con la interventoría para determinar la obra a construir, la PQRS está en trámite a la respuesta del supervisor Andrés Mauricio Rodríguez Collazos y a la visita técnica.</t>
    </r>
  </si>
  <si>
    <r>
      <rPr>
        <b/>
        <sz val="8"/>
        <color theme="1"/>
        <rFont val="Calibri"/>
        <family val="2"/>
        <scheme val="minor"/>
      </rPr>
      <t>Trámite 1: 11 de Febrero 2015</t>
    </r>
    <r>
      <rPr>
        <sz val="8"/>
        <color theme="1"/>
        <rFont val="Calibri"/>
        <family val="2"/>
        <scheme val="minor"/>
      </rPr>
      <t xml:space="preserve">
Se reporta PQRS al Supervisor Henry Alzate Aguirre, informa que el día 10/02/2015 se hizo la visita técnica y la socialización la comunidad, la gestora socio-ambiental estuvo en la reunión y la PQRS se da como RESUELTA en esta socialización. </t>
    </r>
  </si>
  <si>
    <r>
      <rPr>
        <b/>
        <sz val="8"/>
        <color theme="1"/>
        <rFont val="Calibri"/>
        <family val="2"/>
        <scheme val="minor"/>
      </rPr>
      <t>Trámite 1: 10 de Febrero 2015</t>
    </r>
    <r>
      <rPr>
        <sz val="8"/>
        <color theme="1"/>
        <rFont val="Calibri"/>
        <family val="2"/>
        <scheme val="minor"/>
      </rPr>
      <t xml:space="preserve">
Se reporta PQRS a la Supervisora Claudia Andrea Borrego García, dice que El Consorcio Obras 2012 no está obligada a comprar o hacer uso de la cantera de los asociados si consideran que el material no es acto o cuyas especificaciones no son las requeridas, sin embrago si existe una relación contractual este debe ser seguido como fue establecido por las entidades.  </t>
    </r>
  </si>
  <si>
    <r>
      <rPr>
        <b/>
        <sz val="8"/>
        <color theme="1"/>
        <rFont val="Calibri"/>
        <family val="2"/>
        <scheme val="minor"/>
      </rPr>
      <t>Trámite 1: 10 de Febrero 2015</t>
    </r>
    <r>
      <rPr>
        <sz val="8"/>
        <color theme="1"/>
        <rFont val="Calibri"/>
        <family val="2"/>
        <scheme val="minor"/>
      </rPr>
      <t xml:space="preserve">
Se reporta PQRS a Elizabeth Trujillo Vásquez (Ingeniera Apoyo de la Dirección de Desarrollo) quien anteriormente ya había dado respuesta a la solicitud, adjunta oficio de la respuesta dada al señor  Luis Fernando Mesa Gallego, donde se evidencia que la Gobernación hizo la visita y dio la directriz para que se construya el disipador,  la PQRS está en trámite a la espera que el contratista ejecute las obras con recursos del 2015. La Ingeniera envia correo electronico al contratista y la interventoria.
</t>
    </r>
    <r>
      <rPr>
        <b/>
        <sz val="8"/>
        <color theme="1"/>
        <rFont val="Calibri"/>
        <family val="2"/>
        <scheme val="minor"/>
      </rPr>
      <t>Trámite 2: 10 de Febrero 2015</t>
    </r>
    <r>
      <rPr>
        <sz val="8"/>
        <color theme="1"/>
        <rFont val="Calibri"/>
        <family val="2"/>
        <scheme val="minor"/>
      </rPr>
      <t xml:space="preserve">
Jaime Eduardo Correa Escobar (RES. CONSORCIO 23.) Responde al correo electronico:
"Buenas tardes: Estaremos atentos para el inicio de esta obra, una vez la interventoria de las directrices  en cuanto el dimensionamiento,  condiciones estructurales e hidráulicas que se acomoden al terreno en este caso particular .Sugerimos una visita conjunta con la interventoria para definir las obra a construir."
</t>
    </r>
    <r>
      <rPr>
        <b/>
        <sz val="8"/>
        <color theme="1"/>
        <rFont val="Calibri"/>
        <family val="2"/>
        <scheme val="minor"/>
      </rPr>
      <t>Trámite 3: 10 de Febrero 2015</t>
    </r>
    <r>
      <rPr>
        <sz val="8"/>
        <color theme="1"/>
        <rFont val="Calibri"/>
        <family val="2"/>
        <scheme val="minor"/>
      </rPr>
      <t xml:space="preserve">
 Elizabeth Trujillo Vásquez responde: "Estaré pendiente a las instrucciones emitidas por la interventoría y al avance de las obras." 
</t>
    </r>
  </si>
  <si>
    <r>
      <rPr>
        <b/>
        <sz val="8"/>
        <color theme="1"/>
        <rFont val="Calibri"/>
        <family val="2"/>
        <scheme val="minor"/>
      </rPr>
      <t>Trámite 2: 10 de Febrero 2015</t>
    </r>
    <r>
      <rPr>
        <sz val="8"/>
        <color theme="1"/>
        <rFont val="Calibri"/>
        <family val="2"/>
        <scheme val="minor"/>
      </rPr>
      <t xml:space="preserve">
Se comunica telefónicamente con la señora Amalia (Gestora Social de la Interventoría), Correo Proyectonordeste@interpro.com.co, Celular: 3115088057, dice que están solicitando cuenta de cobro por parte Jairo Monsalve y estará pasando por dicha cuenta el día de hoy (10/02/2015), la señora responderá correo con información adicional de la solicitud.</t>
    </r>
  </si>
  <si>
    <r>
      <rPr>
        <b/>
        <sz val="8"/>
        <color theme="1"/>
        <rFont val="Calibri"/>
        <family val="2"/>
        <scheme val="minor"/>
      </rPr>
      <t>Trámite 2: 10 de Febrero 2015</t>
    </r>
    <r>
      <rPr>
        <sz val="8"/>
        <color theme="1"/>
        <rFont val="Calibri"/>
        <family val="2"/>
        <scheme val="minor"/>
      </rPr>
      <t xml:space="preserve">
Se comunica telefónicamente con la señora Amalia (Gestora Social de la Interventoría), Correo Proyectonordeste@interpro.com.co, Celular: 3115088057, dice que se están haciendo observaciones y chequeos en las visitas proponiendo reductores de velocidad, la respuesta de la petición depende ahora de la gestión por parte de la supervisora. La señora Amalia responderá correo con información adicional de la solicitud.</t>
    </r>
  </si>
  <si>
    <r>
      <rPr>
        <b/>
        <sz val="8"/>
        <color theme="1"/>
        <rFont val="Calibri"/>
        <family val="2"/>
        <scheme val="minor"/>
      </rPr>
      <t>Trámite 2: 10 de Febrero 2015</t>
    </r>
    <r>
      <rPr>
        <sz val="8"/>
        <color theme="1"/>
        <rFont val="Calibri"/>
        <family val="2"/>
        <scheme val="minor"/>
      </rPr>
      <t xml:space="preserve">
Se comunica telefónicamente con la señora Amalia(Gestora Social de la Interventoría),  Correo Proyectonordeste@interpro.com.co, Celular: 3115088057. La señora Amalia responderá correo con información adicional de la solicitud.</t>
    </r>
  </si>
  <si>
    <r>
      <rPr>
        <b/>
        <sz val="8"/>
        <color theme="1"/>
        <rFont val="Calibri"/>
        <family val="2"/>
        <scheme val="minor"/>
      </rPr>
      <t>Trámite 2: 10 de Febrero 2015</t>
    </r>
    <r>
      <rPr>
        <sz val="8"/>
        <color theme="1"/>
        <rFont val="Calibri"/>
        <family val="2"/>
        <scheme val="minor"/>
      </rPr>
      <t xml:space="preserve">
Se comunica telefónicamente con la señora Amalia, Correo Proyectonordeste@interpro.com.co, Celular: 3115088057. Dice que la petición fue atendida directamente por el gestor social en la zona Sebastián Franco. La señora Amalia responderá correo con información adicional de la solicitud.</t>
    </r>
  </si>
  <si>
    <r>
      <rPr>
        <b/>
        <sz val="8"/>
        <color theme="1"/>
        <rFont val="Calibri"/>
        <family val="2"/>
        <scheme val="minor"/>
      </rPr>
      <t>Trámite 1: 10 de Febrero 2015</t>
    </r>
    <r>
      <rPr>
        <sz val="8"/>
        <color theme="1"/>
        <rFont val="Calibri"/>
        <family val="2"/>
        <scheme val="minor"/>
      </rPr>
      <t xml:space="preserve">
Se reporta PQRS al Supervisor Hernán Giraldo Atehortúa, dice que dentro del contrato 2013-OO-20-0022 mantenimientos vías del suroeste tienen en la programación intervenir el tramo Bodega-Jericó, en la cual se encuentre el tramo en solicitud. Se deja abierta la PQRS en el momento que se defina exactamente la fecha y forma de la intervención.</t>
    </r>
  </si>
  <si>
    <r>
      <rPr>
        <b/>
        <sz val="8"/>
        <color theme="1"/>
        <rFont val="Calibri"/>
        <family val="2"/>
        <scheme val="minor"/>
      </rPr>
      <t>Trámite 1: 10 de Febrero 2015</t>
    </r>
    <r>
      <rPr>
        <sz val="8"/>
        <color theme="1"/>
        <rFont val="Calibri"/>
        <family val="2"/>
        <scheme val="minor"/>
      </rPr>
      <t xml:space="preserve">
Se reporta PQRS a María Katherine Roa (Ingeniera Apoyo de la Dirección de Desarrollo) quien oportunamente se comunica con el supervisor encargado de la zona Oriente Mauricio Morales Gómez, programan visita técnica para evaluar el estado de la vía el día jueves 19 de febrero, conforme a esto se dará respuesta a la solicitud por parte de la oficina de planeación.</t>
    </r>
  </si>
  <si>
    <r>
      <rPr>
        <b/>
        <sz val="8"/>
        <color rgb="FF000000"/>
        <rFont val="Calibri"/>
        <family val="2"/>
        <scheme val="minor"/>
      </rPr>
      <t xml:space="preserve">Trámite 1: 6 de Febrero 2015 </t>
    </r>
    <r>
      <rPr>
        <sz val="8"/>
        <color rgb="FF000000"/>
        <rFont val="Calibri"/>
        <family val="2"/>
        <scheme val="minor"/>
      </rPr>
      <t xml:space="preserve">
Se reporta PQRS a la Supervisora Claudia Andrea Borrego García, la solicitud se encuentra en trámite a la espera de realizar una visita que permita aclarar la forma y posibilidad de resolver la situación en caso de ser necesaria una intervención.</t>
    </r>
  </si>
  <si>
    <r>
      <rPr>
        <b/>
        <sz val="8"/>
        <color rgb="FF000000"/>
        <rFont val="Calibri"/>
        <family val="2"/>
        <scheme val="minor"/>
      </rPr>
      <t xml:space="preserve">Trámite 1: 6 de Febrero 2015 </t>
    </r>
    <r>
      <rPr>
        <sz val="8"/>
        <color rgb="FF000000"/>
        <rFont val="Calibri"/>
        <family val="2"/>
        <scheme val="minor"/>
      </rPr>
      <t xml:space="preserve">
Se reporta PQRS a la Supervisora Claudia Andrea Borrego García, la solicitud se encuentra en trámite a la espera de verificar la obra y el drenaje en una visita, la ingeniera se estará comunicando con la residencia de interventoría para dar respuesta a la solicitud.</t>
    </r>
  </si>
  <si>
    <r>
      <rPr>
        <b/>
        <sz val="8"/>
        <color rgb="FF000000"/>
        <rFont val="Calibri"/>
        <family val="2"/>
        <scheme val="minor"/>
      </rPr>
      <t xml:space="preserve">Trámite 1: 6 de Febrero 2015 </t>
    </r>
    <r>
      <rPr>
        <sz val="8"/>
        <color rgb="FF000000"/>
        <rFont val="Calibri"/>
        <family val="2"/>
        <scheme val="minor"/>
      </rPr>
      <t xml:space="preserve">
Se reporta PQRS a la Supervisora  Claudia Andrea Borrego García la solicitud se encuentra en trámite a la espera de la información que suministrará el contratista tanto del listado de empleados y su respectiva vinculación para su comprobación.</t>
    </r>
  </si>
  <si>
    <r>
      <rPr>
        <b/>
        <sz val="8"/>
        <color rgb="FF000000"/>
        <rFont val="Calibri"/>
        <family val="2"/>
        <scheme val="minor"/>
      </rPr>
      <t>Trámite 1: 6 de Febrero 2015</t>
    </r>
    <r>
      <rPr>
        <sz val="8"/>
        <color rgb="FF000000"/>
        <rFont val="Calibri"/>
        <family val="2"/>
        <scheme val="minor"/>
      </rPr>
      <t xml:space="preserve"> 
Se reporta PQRS a la Supervisora Claudia Andrea Borrego García y recomienda: Adjuntar material que evidencia la ejecución de las obras de reparación en la tubería, documentación o alguna constancia donde se llegó al acuerdo con la Junta de Acción Comunal e incluir en la información la fecha de ejecución;  Así mismo la solicitud se encuentra en trámite y la ingeniera se estará comunicando con la residencia de interventoría para verificar la información y dar respuesta a la solicitud.</t>
    </r>
  </si>
  <si>
    <r>
      <rPr>
        <b/>
        <sz val="8"/>
        <color theme="1"/>
        <rFont val="Calibri"/>
        <family val="2"/>
        <scheme val="minor"/>
      </rPr>
      <t>Trámite 3: 12 de Febrero 2015</t>
    </r>
    <r>
      <rPr>
        <sz val="8"/>
        <color theme="1"/>
        <rFont val="Calibri"/>
        <family val="2"/>
        <scheme val="minor"/>
      </rPr>
      <t xml:space="preserve">
No se logra comunicar telefónicamente con la señora Amalia (Gestora Social de la Interventoría), Correo Proyectonordeste@interpro.com.co, Celular: 3115088057, el tramite está abierto a la espera del que contratista responda o efectué el pago al señor Jairo Monsalve.
</t>
    </r>
  </si>
  <si>
    <r>
      <rPr>
        <b/>
        <sz val="8"/>
        <color theme="1"/>
        <rFont val="Calibri"/>
        <family val="2"/>
        <scheme val="minor"/>
      </rPr>
      <t>Trámite 3: 12 de Febrero 2015</t>
    </r>
    <r>
      <rPr>
        <sz val="8"/>
        <color theme="1"/>
        <rFont val="Calibri"/>
        <family val="2"/>
        <scheme val="minor"/>
      </rPr>
      <t xml:space="preserve">
La Supervisora Claudia Andrea Borrego García se encuentra en campo, la respuesta a la petición depende ahora de la gestión por parte de la supervisora en su regreso.
</t>
    </r>
  </si>
  <si>
    <r>
      <rPr>
        <b/>
        <sz val="8"/>
        <color theme="1"/>
        <rFont val="Calibri"/>
        <family val="2"/>
        <scheme val="minor"/>
      </rPr>
      <t>Trámite 3: 12 de Febrero 2015</t>
    </r>
    <r>
      <rPr>
        <sz val="8"/>
        <color theme="1"/>
        <rFont val="Calibri"/>
        <family val="2"/>
        <scheme val="minor"/>
      </rPr>
      <t xml:space="preserve">
No se recibe la respuesta por parte de la señora Amalia (Gestora Social de la Interventoría), la solicitud se encuentra en trámite a la espera de la información que suministrará el contratista en una carta oficial de respuesta donde se explique la forma en la que se decide contratar la mano de obra.</t>
    </r>
  </si>
  <si>
    <t>Elizabeth Trujillo
Hernán Giraldo Atehortúa</t>
  </si>
  <si>
    <r>
      <rPr>
        <b/>
        <sz val="8"/>
        <color theme="1"/>
        <rFont val="Calibri"/>
        <family val="2"/>
        <scheme val="minor"/>
      </rPr>
      <t xml:space="preserve">Trámite 2: 12 de Febrero 2015 </t>
    </r>
    <r>
      <rPr>
        <sz val="8"/>
        <color theme="1"/>
        <rFont val="Calibri"/>
        <family val="2"/>
        <scheme val="minor"/>
      </rPr>
      <t xml:space="preserve">
Al no tener respuesta de RENTAN, se reporta PQRS nuevamente al supervisor Juan David Loaiza Gallego quien se comunicó vía correo electrónico. Solitud a la espera de respuesta por parte de RENTAN, se adjunta correo:
Buenas tardes Jeisy
El 15 de Diciembre una de las maquinas ocasionó un daño en la red eléctrica de la vía terciaria que estamos atendiendo y ocasionó el daño en una nevera de la casa de María Patricia Mazo de la Vereda Italia 90 con numero de celular  321 712 73 30.
Favor averiguar que paso y en que quedaron con esta señora, ya que tenemos una Queja por este incidente y ya había solicitado desde la semana pasada respuesta y a la fecha no me la han dado. Recuerden que después de cierto tiempo pueden generar posibles TUTELAS para la Gobernación.
Muchas gracias por la colaboración
Saludos
Att: Juan David Loaiza Gallego
Profesional Universitario
Supervisor contrato Rentan
Secretaria de Infraestructura Fisica
Dirección de Desarrollo Físico
Gobernación de Antioquia
Cel: 320 577 74 83
tel: 383 9445
</t>
    </r>
  </si>
  <si>
    <r>
      <rPr>
        <b/>
        <sz val="8"/>
        <color theme="1"/>
        <rFont val="Calibri"/>
        <family val="2"/>
        <scheme val="minor"/>
      </rPr>
      <t xml:space="preserve">Trámite 1: 12 de Febrero 2015 </t>
    </r>
    <r>
      <rPr>
        <sz val="8"/>
        <color theme="1"/>
        <rFont val="Calibri"/>
        <family val="2"/>
        <scheme val="minor"/>
      </rPr>
      <t xml:space="preserve">
Se reporta PQRS vía telefónica al Supervisor Mauricio Morales Gómez, quien para ánimos de resolver las inquietudes recomienda hablar con la supervisora María Del Rosario Palacio Sánchez, esta última comunicándose oportunamente con el residente de obra del contratista, quien dice que las obras de prevención y seguridad en el sector del Centro Educativo Rural (CER) se están ejecutando a la fecha (12/02/2015). La PQRS está abierta a la espera de confirmar ejecución por parte de la supervisora quien asistirá a comité el día 13/02/2015.
</t>
    </r>
  </si>
  <si>
    <r>
      <rPr>
        <b/>
        <sz val="8"/>
        <color theme="1"/>
        <rFont val="Calibri"/>
        <family val="2"/>
        <scheme val="minor"/>
      </rPr>
      <t xml:space="preserve">Trámite 1: 12 de Febrero 2015 </t>
    </r>
    <r>
      <rPr>
        <sz val="8"/>
        <color theme="1"/>
        <rFont val="Calibri"/>
        <family val="2"/>
        <scheme val="minor"/>
      </rPr>
      <t xml:space="preserve">
Se reporta PQRS vía telefónica al Supervisor Mauricio Morales Gómez, quien para ánimos de resolver las inquietudes recomienda hablar con la supervisora María Del Rosario Palacio Sánchez, esta última comunicándose oportunamente con el residente de obra del contratista, quien dice que las obras de prevención y seguridad en el sector de la iglesia se están ejecutando a la fecha (12/02/2015). La PQRS está abierta a la espera de confirmar ejecución por parte de la supervisora quien tendrá comité el día 13/02/2015.
</t>
    </r>
  </si>
  <si>
    <r>
      <rPr>
        <b/>
        <sz val="8"/>
        <color theme="1"/>
        <rFont val="Calibri"/>
        <family val="2"/>
        <scheme val="minor"/>
      </rPr>
      <t xml:space="preserve">Trámite 1: 12 de Febrero 2015 </t>
    </r>
    <r>
      <rPr>
        <sz val="8"/>
        <color theme="1"/>
        <rFont val="Calibri"/>
        <family val="2"/>
        <scheme val="minor"/>
      </rPr>
      <t xml:space="preserve">
Se reporta PQRS vía telefónica al Supervisor Mauricio Morales Gómez, quien para ánimos de resolver las inquietudes recomienda hablar con la supervisora María Del Rosario Palacio Sánchez, la Supervisora está al tanto de la situación y  se pretende emitir respuesta después del comité el día 13/02/2015.
</t>
    </r>
  </si>
  <si>
    <r>
      <rPr>
        <b/>
        <sz val="8"/>
        <color theme="1"/>
        <rFont val="Calibri"/>
        <family val="2"/>
        <scheme val="minor"/>
      </rPr>
      <t xml:space="preserve">Trámite 1: 13 de Febrero 2015 </t>
    </r>
    <r>
      <rPr>
        <sz val="8"/>
        <color theme="1"/>
        <rFont val="Calibri"/>
        <family val="2"/>
        <scheme val="minor"/>
      </rPr>
      <t xml:space="preserve">
Se reporta PQRS al ingeniero Andrés Mauricio Rodríguez Collazos, argumenta que se ejecutó señalización horizontal en la zona y envía fotos. La PQRS está abierta por verificar si se cubrió la totalidad de las zonas.
</t>
    </r>
  </si>
  <si>
    <r>
      <rPr>
        <b/>
        <sz val="8"/>
        <color theme="1"/>
        <rFont val="Calibri"/>
        <family val="2"/>
        <scheme val="minor"/>
      </rPr>
      <t xml:space="preserve">Trámite 1: 13 de Febrero 2015 </t>
    </r>
    <r>
      <rPr>
        <sz val="8"/>
        <color theme="1"/>
        <rFont val="Calibri"/>
        <family val="2"/>
        <scheme val="minor"/>
      </rPr>
      <t xml:space="preserve">
Se reporta PQRS al ingeniero Andrés Mauricio Rodríguez Collazos, argumenta que se ejecutó únicamente señalización horizontal en la zona ya en el presupuesto del contrato no se permitía atender más gasto, La PQRS está abierta por verificar si se cubrió la totalidad de las zonas solicitadas.</t>
    </r>
  </si>
  <si>
    <r>
      <rPr>
        <b/>
        <sz val="8"/>
        <color theme="1"/>
        <rFont val="Calibri"/>
        <family val="2"/>
        <scheme val="minor"/>
      </rPr>
      <t>Trámite 1: 13 de Febrero 2015</t>
    </r>
    <r>
      <rPr>
        <sz val="8"/>
        <color theme="1"/>
        <rFont val="Calibri"/>
        <family val="2"/>
        <scheme val="minor"/>
      </rPr>
      <t xml:space="preserve"> 
Se reporta PQRS al ingeniero Andrés Mauricio Rodríguez Collazos, argumenta que se ejecutó únicamente señalización horizontal en la zona ya en el presupuesto del contrato no se permitía atender más gasto, La PQRS está abierta por verificar si se cubrió la totalidad de las zonas solicitadas.</t>
    </r>
  </si>
  <si>
    <r>
      <rPr>
        <b/>
        <sz val="8"/>
        <color theme="1"/>
        <rFont val="Calibri"/>
        <family val="2"/>
        <scheme val="minor"/>
      </rPr>
      <t xml:space="preserve">Trámite 1: 13 de Febrero 2015 </t>
    </r>
    <r>
      <rPr>
        <sz val="8"/>
        <color theme="1"/>
        <rFont val="Calibri"/>
        <family val="2"/>
        <scheme val="minor"/>
      </rPr>
      <t xml:space="preserve">
Se reporta PQRS al ingeniero Andrés Mauricio Rodríguez Collazos y dice que la zona se está interviniendo con señalización preventiva y se está ampliando la vía para mejorar la movilidad de los vehículos, 
</t>
    </r>
  </si>
  <si>
    <r>
      <rPr>
        <b/>
        <sz val="8"/>
        <color theme="1"/>
        <rFont val="Calibri"/>
        <family val="2"/>
        <scheme val="minor"/>
      </rPr>
      <t xml:space="preserve">Trámite 1: 13 de Febrero 2015 </t>
    </r>
    <r>
      <rPr>
        <sz val="8"/>
        <color theme="1"/>
        <rFont val="Calibri"/>
        <family val="2"/>
        <scheme val="minor"/>
      </rPr>
      <t xml:space="preserve">
Se reporta PQRS al ingeniero Andrés Mauricio Rodríguez Collazos y dice que no conoce la intervención, puesto que la perdida de banca se presenta en una vía terciaria y el material cae a una vía secundaria. Recomienda hablar con Jesús María Zapata Zapata
</t>
    </r>
  </si>
  <si>
    <r>
      <rPr>
        <b/>
        <sz val="8"/>
        <color theme="1"/>
        <rFont val="Calibri"/>
        <family val="2"/>
        <scheme val="minor"/>
      </rPr>
      <t xml:space="preserve">Trámite 1: 13 de Febrero 2015 </t>
    </r>
    <r>
      <rPr>
        <sz val="8"/>
        <color theme="1"/>
        <rFont val="Calibri"/>
        <family val="2"/>
        <scheme val="minor"/>
      </rPr>
      <t xml:space="preserve">
Se reporta PQRS al ingeniero Andrés Mauricio Rodríguez Collazos y dice que la intervención se ejecutó dentro del contrato de atención a puntos críticos, recomienda hablar con Libardo Augusto Rico Giraldo para verificar la información.</t>
    </r>
  </si>
  <si>
    <r>
      <rPr>
        <b/>
        <sz val="8"/>
        <color theme="1"/>
        <rFont val="Calibri"/>
        <family val="2"/>
        <scheme val="minor"/>
      </rPr>
      <t xml:space="preserve">Trámite 1: 13 de Febrero 2015 </t>
    </r>
    <r>
      <rPr>
        <sz val="8"/>
        <color theme="1"/>
        <rFont val="Calibri"/>
        <family val="2"/>
        <scheme val="minor"/>
      </rPr>
      <t xml:space="preserve">
Se reporta PQRS al ingeniero Andrés Mauricio Rodríguez Collazos, argumenta que se ejecutó un muro en el kilómetro 5 donde había una falla geológica, desconoce una situación similar en el Kilómetro 4+800, la PQRS está abierta para verificar si se trata de la misma solicitud y de su respectiva ejecución.
</t>
    </r>
  </si>
  <si>
    <t>Andrés Mauricio Rodríguez Collazo</t>
  </si>
  <si>
    <t>10/02/2015
11/02/2015</t>
  </si>
  <si>
    <t>06/02/2015
12/02/2015</t>
  </si>
  <si>
    <t xml:space="preserve">06/02/2015
10/02/2015
12/02/2015
</t>
  </si>
  <si>
    <t>06/02/2015
10/02/2015
12/02/2015</t>
  </si>
  <si>
    <t>10/02/2015
12/02/2015</t>
  </si>
  <si>
    <t xml:space="preserve">Hernan Giraldo
Elizabeth Trujillo Vásquez </t>
  </si>
  <si>
    <t>19/09/2014
11/02/2015</t>
  </si>
  <si>
    <t>19/09/2015
13/02/2014</t>
  </si>
  <si>
    <t>08/10/2014
13/02/2015</t>
  </si>
  <si>
    <t>08/10/2014
20/10/14
13/02/2015</t>
  </si>
  <si>
    <t>20/10/2014
11/02/2015</t>
  </si>
  <si>
    <t>31/10/2014
11/02/2015</t>
  </si>
  <si>
    <r>
      <rPr>
        <b/>
        <sz val="8"/>
        <color theme="1"/>
        <rFont val="Calibri"/>
        <family val="2"/>
        <scheme val="minor"/>
      </rPr>
      <t xml:space="preserve">Trámite 1: 13 de Febrero 2015 </t>
    </r>
    <r>
      <rPr>
        <sz val="8"/>
        <color theme="1"/>
        <rFont val="Calibri"/>
        <family val="2"/>
        <scheme val="minor"/>
      </rPr>
      <t xml:space="preserve">
Se reporta PQRS al ingeniero Andrés Mauricio Rodríguez Collazos y dice que desconoce el lugar puesto la vía es terciaria y no está en su zona de trabajo, se informa a  Jorge Fidel Castro y recomienda que el proceso se gestione desde las directivas, primeramente para que la alcaldía gestione el proceso con la gobernación y la secretarias pertinentes (Teniendo en cuenta a la secretaria de Educación) 
</t>
    </r>
  </si>
  <si>
    <r>
      <rPr>
        <b/>
        <sz val="8"/>
        <color theme="1"/>
        <rFont val="Calibri"/>
        <family val="2"/>
        <scheme val="minor"/>
      </rPr>
      <t xml:space="preserve">Trámite 1: 11 de Febrero 2015 </t>
    </r>
    <r>
      <rPr>
        <sz val="8"/>
        <color theme="1"/>
        <rFont val="Calibri"/>
        <family val="2"/>
        <scheme val="minor"/>
      </rPr>
      <t xml:space="preserve">
Se reporta PQRS al supervisor Omar Alexander Acevedo Echeverry, comenta que la PQRS ya está Resolviéndose, en cuanto al mantenimiento y  a los reportes técnicos por el contratista,  adjuntara documento donde se evidencia las labores de mantenimiento y estado de los pozos, para verificar el estado de eta solicitud en específico.</t>
    </r>
  </si>
  <si>
    <r>
      <rPr>
        <b/>
        <sz val="8"/>
        <color theme="1"/>
        <rFont val="Calibri"/>
        <family val="2"/>
        <scheme val="minor"/>
      </rPr>
      <t xml:space="preserve">Trámite 1: 11 de Febrero 2015 </t>
    </r>
    <r>
      <rPr>
        <sz val="8"/>
        <color theme="1"/>
        <rFont val="Calibri"/>
        <family val="2"/>
        <scheme val="minor"/>
      </rPr>
      <t xml:space="preserve">
Se reporta PQRS al supervisor Hernán Giraldo Atehortúa y comenta que desconoce el sector, con la declaración de la Gestora Social se identifica que el encargado de la zona es el supervisor Andrés Mauricio Rodríguez Collazos, que en el momento se encuentra en campo y no ha sido posible comunicarse con él. La PQRS está en trámite a la espera de comunicarse con el supervisor y conocer si la zona estará cobijada por la programación de mantenimiento.
</t>
    </r>
    <r>
      <rPr>
        <b/>
        <sz val="8"/>
        <color theme="1"/>
        <rFont val="Calibri"/>
        <family val="2"/>
        <scheme val="minor"/>
      </rPr>
      <t>Trámite 2: 13 de Febrero 2015</t>
    </r>
    <r>
      <rPr>
        <sz val="8"/>
        <color theme="1"/>
        <rFont val="Calibri"/>
        <family val="2"/>
        <scheme val="minor"/>
      </rPr>
      <t xml:space="preserve">
Se reporta PQRS al supervisor Andrés Mauricio Rodríguez Collazos y recomienda hablar con el supervisor del contrato de puentes Juan Fernando Franco Uribe, ya que el desconoce la zona, la PQRS está en trámite a la espera de contactar al supervisor.</t>
    </r>
  </si>
  <si>
    <r>
      <rPr>
        <b/>
        <sz val="8"/>
        <color rgb="FF000000"/>
        <rFont val="Calibri"/>
        <family val="2"/>
      </rPr>
      <t xml:space="preserve">Trámite 1: 13 de Febrero 2015 
</t>
    </r>
    <r>
      <rPr>
        <sz val="8"/>
        <color rgb="FF000000"/>
        <rFont val="Calibri"/>
        <family val="2"/>
      </rPr>
      <t>Se reporta PQRS al ingeniero Andrés Mauricio Rodríguez Collazos y dice que la intervención se hizo en el contrato 2013-00-20-023, se amplió y se parcheo el tramo en solicitud. La PQRS está en trámite a la espera de verificar la información por parte del supervisor.</t>
    </r>
    <r>
      <rPr>
        <b/>
        <sz val="8"/>
        <color rgb="FF000000"/>
        <rFont val="Calibri"/>
        <family val="2"/>
      </rPr>
      <t xml:space="preserve">
Trámite 2: 16 de Febrero 2015 
</t>
    </r>
    <r>
      <rPr>
        <sz val="8"/>
        <color rgb="FF000000"/>
        <rFont val="Calibri"/>
        <family val="2"/>
      </rPr>
      <t>Información suministra por la Gestora Social Harlen Dayana Cordoba Mena, vía correo electrónico: “Aun sigue abierta,  recientemente se realizó un intervención en el punto señalado, pero quien puso la PQRS refiere que la intervención realizada no soluciona el problema”</t>
    </r>
  </si>
  <si>
    <r>
      <rPr>
        <b/>
        <sz val="8"/>
        <color theme="1"/>
        <rFont val="Calibri"/>
        <family val="2"/>
        <scheme val="minor"/>
      </rPr>
      <t xml:space="preserve">Trámite 1: 16 de Febrero 2015 </t>
    </r>
    <r>
      <rPr>
        <sz val="8"/>
        <color theme="1"/>
        <rFont val="Calibri"/>
        <family val="2"/>
        <scheme val="minor"/>
      </rPr>
      <t xml:space="preserve">
Información suministra por la Gestora Social Harlen Dayana Cordoba Mena, vía correo electrónico: “cerrada, se hizo la respectiva rocería solicitada”</t>
    </r>
  </si>
  <si>
    <r>
      <rPr>
        <b/>
        <sz val="8"/>
        <color theme="1"/>
        <rFont val="Calibri"/>
        <family val="2"/>
        <scheme val="minor"/>
      </rPr>
      <t xml:space="preserve">Trámite 1: 16 de Febrero 2015 </t>
    </r>
    <r>
      <rPr>
        <sz val="8"/>
        <color theme="1"/>
        <rFont val="Calibri"/>
        <family val="2"/>
        <scheme val="minor"/>
      </rPr>
      <t xml:space="preserve">
Información suministra por la Gestora Social Harlen Dayana Cordoba Mena, vía correo electrónico: “cerrada, ya se construyó el muro de contención”</t>
    </r>
  </si>
  <si>
    <r>
      <rPr>
        <b/>
        <sz val="8"/>
        <color theme="1"/>
        <rFont val="Calibri"/>
        <family val="2"/>
        <scheme val="minor"/>
      </rPr>
      <t xml:space="preserve">Trámite 1: 16 de Febrero 2015 </t>
    </r>
    <r>
      <rPr>
        <sz val="8"/>
        <color theme="1"/>
        <rFont val="Calibri"/>
        <family val="2"/>
        <scheme val="minor"/>
      </rPr>
      <t xml:space="preserve">
Información suministra por la Gestora Social Harlen Dayana Cordoba Mena, vía correo electrónico: “cerrada, la respuesta se envió por correo”</t>
    </r>
  </si>
  <si>
    <t xml:space="preserve"> Hernán Giraldo Atehortúa
Andrés Mauricio Rodríguez Collazos</t>
  </si>
  <si>
    <t>11/02/2015
13/02/2015</t>
  </si>
  <si>
    <t>Juan Fernando Franco Uribe</t>
  </si>
  <si>
    <t>Omar Alexander Acevedo Echeverry</t>
  </si>
  <si>
    <t>13 de Febrero 2015</t>
  </si>
  <si>
    <t>LA ENTRADA DE LA FINCA SE ENCUENTRA EN UNA CURVA PRONUNCIADA O CERRAD, LA USUARIA MANIFIESTA QUE LA CUNETA QUEDO A LAS AFUERAS, OCASIONANDO PELIGRO PARA LA ENTRADA Y LA SALIDA DE LA FINCA, POR NO TENER ESPACIO SUFICIENTE DE MANIOBRA PARA EVITAR LOS CARROS QUE SUBEN Y BAJAN CONSTANTEMENTE POR LA VIA, ADEMAS EN LA CURVA HAY DAÑO DE LA CARRETERA POR TAL RAZON LOS CARROS SE ABREN EVITANDO EL HUCO DE LA VIA; ADEMAS LA DUEÑA DE LA FINCA AUTORIZO A LOS CONTRATISTAS PARA QUE EN SUS PREDIOS SE REALIZARA UN BOTADERO DE ESCOMBROS, PERO LE DAÑARON LA CERCA, DEJANDO LA BARANDA PERDIDA Y EL ALAMBRADO EN MALAS CONDICIONES, LA DUEÑA SOLICITA REPARACION DE SU ALAMBRADO.</t>
  </si>
  <si>
    <t>RESPUESTA 24/02/2015</t>
  </si>
  <si>
    <t xml:space="preserve"> María Del Rosario Palacio Sánchez</t>
  </si>
  <si>
    <t>URRAO</t>
  </si>
  <si>
    <t>Altamira - San José</t>
  </si>
  <si>
    <t>LUIS ALFONSO CIFUENTES</t>
  </si>
  <si>
    <t>EN LA VIA ALTAMIRA - SAN JOSE. CERCA A LA FINCA EL TAMBO SE ENCUENTRA UN PUNTO CON PERDIDA DE BANCA Y SE NECESITA LA CONSTRUCCION DE UN BOXCOULVERT PORQUE LAS AGUAS CORREN POR ENCIMA DE LA VIA.
EN INVIERNO LAS VIA ES TOTALMENTE INUNDADA POR EL AGUA Y SE HACE INTRANSITABLE.</t>
  </si>
  <si>
    <t>BETULIA</t>
  </si>
  <si>
    <t>GILBERTO DE JESUS DURANGO</t>
  </si>
  <si>
    <t>LA VIVIENDA DEL SEÑOR GILBERTO PRESENTA GRIETAS EN LAS PAREDES DEBIDO A UNA MAQUINA (VIBRO-COMPACTADORA), DE LA GOBERNACIÓN DE ANTIOQUIA QUE PASO SOBRE LA VIA, COMPACTANDO EL MATERIAL.
EL MATERIAL, CON EL QUE COMPACTARON LA VIA PERTENECE DEL SECTOR LAS AGUITAS.</t>
  </si>
  <si>
    <t>Cangrejo (Río Cauca) - Altamira</t>
  </si>
  <si>
    <t>MARIELA GARCIA</t>
  </si>
  <si>
    <t>LA EMPRESA RENTAN CON LAS MAQUINAS, DERRIBARON VARIAS OBRAS EN LA VIA Y EN EL MOMENTO SE ENCUENTRAN TAPADAS, AFECTANDO LAS VIVIENDAS EN INVIERNO. ESTE HECHO OCURRIO HACE TRES MESES APROXIMADAMENTE.</t>
  </si>
  <si>
    <t>Altamira - Betulia</t>
  </si>
  <si>
    <t>FABIOLA YEPES BEDOYA</t>
  </si>
  <si>
    <t>OBRAS TAPADAS EN LA VIA ALTAMIRA - BETULIA, A LA SALIDA DE ALTAMIRA EN EL SECTOR LA CUMBRE, ESPECIFICAMENTE EN LA VEREDA EL CEDRO, UNA MAQUINA TAPO LA OBRA CON MATERIAL DURANTE EL MANTENIMIENTO DE LA VÍA, PERJUDICANDO AL PREDIO DEL SEÑOR GABRIEL CIFUENTES EN EL MES DE SEPTIEMBRE DE 2014</t>
  </si>
  <si>
    <t>FREDONIA</t>
  </si>
  <si>
    <t>Ruta 25 (Puente Iglesias) - Marsella - Fredonia</t>
  </si>
  <si>
    <t>ADRIAN CAMILO GALEANO</t>
  </si>
  <si>
    <t>ATENORES DE UNA OBRA DILATADOS OCASIONANDO QUE EL AGUA COLECTADO SE INFILTRE EN EL TERRENO CAUSANDO CONSTANTES DAÑOS SOBRE LA VIA Y DOS VIVIENDAS UBICADAS EN EL TALUD INFERIOR DE LA VIA</t>
  </si>
  <si>
    <t>SALGAR</t>
  </si>
  <si>
    <t>Bolívar - Samaria - El Chaquiro</t>
  </si>
  <si>
    <t>ELKIN ALBERTO RESTREPO ARENAS</t>
  </si>
  <si>
    <t>EL SEÑOR ELKIN (CONCEJAL), SOLICITA SE HAGA SOCIALIZACION A LA COMUNIDAD, DONDE SE ENTREGRE INFORMACION SOBRE EL TIPO DE INTERVENCIÓN QUE LE FALTA A LA VÍA BOLIVAR- SAMARIA- EL CHAQUIRO, PUES CONSIDERA LE FALTAN OBRAS, MUROS DE CONTENCIÓN Y ESTABILIZACIÓN.
RECOMIENDA QUE LA SOCIALIZACIÓN SE HAGA EN EL COLEGIO SAMARIA LA HERMITA, UN SÁBADO A LAS 2:00PM.</t>
  </si>
  <si>
    <t>ELKIN EDUARDO QUICENO</t>
  </si>
  <si>
    <t>A TRAVÉS DE LLAMADA TELEFÓNICA SE RECIBE PQRS DEL MUNICIPIO DE JARDÍN, DONDE UN LÍDER COMUNITARIO SOLICITA AYUDA PARA ACLARAR A LA COMUNIDAD LA RAZON PARA QUE EMPLEADOS DEL CABLE ÁEREO COLOQUEN  ALAMBRES A LOS SENDEROS PEATONALES QUE FUERÓN DE USO DE LA COMUNIAD POR MUCHOS AÑOS. AGREGA QUE DE NO TENER RESPUESTA PRONTA NO PODRÁ DETENER QUE LOS CAMPESINOS QUE NECEISTAN ABIERTO EL PASO, TOMEN MEDIDAS EN CONTRA DEL CERRAMIENTO O DEL CABLE. REQUIERE AYUDA PRONTA DONDE SE EXPLIQUE LA RAZON DE TAL SITUACÓN.</t>
  </si>
  <si>
    <t>ANGELÓPOLIS</t>
  </si>
  <si>
    <t>Ruta 60 (Paso Nivel) - Amagá - La Clarita - Angelópolis</t>
  </si>
  <si>
    <t>CESAR AUGUSTO VELASQUEZ</t>
  </si>
  <si>
    <t>EL PRESIDENTE DE LA JAC LA ESTACIÓN, COMENTA QUE HA REALIZADO GESTIÓN CON LA ADMINISTRACIÓN MUNICIPAL PARA QUE SE ARREGLE EL DAÑO OCASIONADO POR LA VIBROCOMPACTADORA HACE MÁS DE UN AÑO, DONDE SE HIZO MANTENIMIENTO A LA VÍA.
EL LUGAR EXACTO ES LA QUEBRADA LA HONDA, EN LAS PARTIDAS DE AMAGÁ Y ANGELÓPOLIS. AL HUNDIR LA VÍA CON LA VIBRO, SE QUEBRO LA TUBERÍA DE LAS AGUAS NEGRAS, DEL CORREGIMIENTO, DONDE DESCARGA A LA QUEBRADA; ACTUALMENTE LAS AGUAS NEGRAS ESTAS ESPARCIDAS SOBRE
 LA VÍA.</t>
  </si>
  <si>
    <t>DIANA STELLA GARRIDO HENAO</t>
  </si>
  <si>
    <t>EN 2012 SE REALIZO UN CONVITE CON LA MAQUINARIA DE LA GOBERNACION EN LA VIA CANDELARIA-SANTA FE-LA PLATA, LA EPOCA ERA DE INVIERNO Y EL TIEMPO ESTABLECIDO NO ALCANZO PARA HABILITAR TODA LA VIA (9 KILOMETROS). SE SOLICITA INTERVENIR NUEVAMENTE LA VIA BAJO LA MODALIDAD DE CONVITE:  LA GOBERNACION PONE VOLQUETAS, CARGADOR Y CARRO TANQUE, EL MUNICIPIO DE ARBOLETES LA MOTONIVELADORA, VIBROCOMPACTADOR Y MATERIAL Y LA COMUNIDAD APORTA ROCERIA, LIMPIEZA Y SANCOCHO.</t>
  </si>
  <si>
    <t>Otra (ADMINISTRACION MUNICIPAL DE ARBOLETES, COMUNIDAD Y GOBERNACION DE ANTIOQUIA)</t>
  </si>
  <si>
    <t>SANTO DOMINGO</t>
  </si>
  <si>
    <t>Santo Domingo - San Roque</t>
  </si>
  <si>
    <t>OCTAVIO SANCHEZ</t>
  </si>
  <si>
    <t>APROXIMADAMENTE EN EL KM 7+000 SE PRESENTA PUNTO CRITICO POR ASENTAMIENTO DE BANCA DESDE HACE MÁS DE CUATRO AÑOS, EL CUAL ESTÁ PONIENDO EN RIESGO LA VIDA DE LAS PERSONAS QUE POR ALLÍ SE MOVILIZAN, YA QUE SE HA FORMADO UN DERRUMBE QUE DA HACIA UN PRECIPICIO DE MÁS DE 50 MTS., POR EL CUAL YA SE HAN PRESENTADO ACCIDENTES. LA COMUNIDAD SE ENCUENTRA MUY PREOCUPADA Y APOYA LA PRESENTE PQRS, FIRMANDO AL REVERSO.</t>
  </si>
  <si>
    <t>BEATRIZMARIN AGUILAR</t>
  </si>
  <si>
    <t>LA SEÑORA BEATRIZ MARIN MANIFIESTA QUE LA INTERVENCION REALIZADA EN LA VIA TERCIARIA AGUAS CLARAS HA TENIDO UN IMPACTO NEGATIVO EN LA MOVILIDAD Y SEGURIDAD FISICA DE LA COMUNIDAD, YA QUE EL PROCEDIMINETO TECNICO  UTILIZADO NO TUVO EN CUENTA LAS CONDICIONES GEOLOGICAS NI CLIMATICAS DE LA ZONA  CON LA APLICACIÓN DEL ESTABILIZANTE CON-AID, ADEMAS METOLDOLOGICAMENTE NO SE PROCEDIO PARA FAVORECER A LA COMUNIDAD, YA QUE SE HA INTERVENIDO EN SIMULTANEO.</t>
  </si>
  <si>
    <t>10 al 16 de Febrero</t>
  </si>
  <si>
    <r>
      <rPr>
        <b/>
        <sz val="8"/>
        <color theme="1"/>
        <rFont val="Calibri"/>
        <family val="2"/>
        <scheme val="minor"/>
      </rPr>
      <t xml:space="preserve">Trámite 1: 12 de Febrero 2015 </t>
    </r>
    <r>
      <rPr>
        <sz val="8"/>
        <color theme="1"/>
        <rFont val="Calibri"/>
        <family val="2"/>
        <scheme val="minor"/>
      </rPr>
      <t xml:space="preserve">
Se reporta PQRS vía telefónica al Supervisor Mauricio Morales Gómez, quien para ánimos de resolver las inquietudes recomienda hablar con la supervisora María Del Rosario Palacio Sánchez, la Supervisora está al tanto de la situación y  se pretende emitir respuesta después del comité el día 13/02/2015. La supervisora pidió copia escaneada de esta PQRS en específico para tratarla en el comité.</t>
    </r>
  </si>
  <si>
    <r>
      <rPr>
        <b/>
        <sz val="8"/>
        <color theme="1"/>
        <rFont val="Calibri"/>
        <family val="2"/>
        <scheme val="minor"/>
      </rPr>
      <t>Tramite 1: 17 de Febrero</t>
    </r>
    <r>
      <rPr>
        <sz val="8"/>
        <color theme="1"/>
        <rFont val="Calibri"/>
        <family val="2"/>
        <scheme val="minor"/>
      </rPr>
      <t xml:space="preserve">
Se reporta PQRS al supervisor Henry Alzate Aguirre, dice que el caso se está investigando, ya que probablemente es una máquina del municipio, porque la zona del trabajo de la SIF es la vía secundaria. Pide verificar la información de las PQRS en el sitio afectado y/o adjuntar evidencia fotográfica para facilitar el proceso. 
Suministra información de German Pantoja Rocero, encargado de la Maquinaria por parte de RENTAN, Cel: 3182066725, Correo: ingenierio.operaciones5@rentan.com.co. 
Aclara que el contrato con RENTAN solo concibe la prestación del servicio y de la maquinaria, cuyo objetivo es dejar la vía lo más transitable posible, incluyendo recoger los escombros o material acumulado.
Recomienda: 
Hablar primero con los organismos municipales y la comunidad, concientizar o hacer campañas para que ellos se encarguen voluntariamente de los servicios de limpieza, armonizando un trabajo en conjunto con la maquinaria.
</t>
    </r>
  </si>
  <si>
    <r>
      <rPr>
        <b/>
        <sz val="8"/>
        <color theme="1"/>
        <rFont val="Calibri"/>
        <family val="2"/>
        <scheme val="minor"/>
      </rPr>
      <t>Tramite 1: 17 de Febrero</t>
    </r>
    <r>
      <rPr>
        <sz val="8"/>
        <color theme="1"/>
        <rFont val="Calibri"/>
        <family val="2"/>
        <scheme val="minor"/>
      </rPr>
      <t xml:space="preserve">
Se reporta PQRS al supervisor Henry Alzate Aguirre, dice que el caso se está investigando, ya que probablemente es una máquina del municipio, porque la zona del trabajo de la SIF es la vía secundaria. Pide verificar la información de las PQRS en el sitio afectado y/o adjuntar evidencia fotográfica para facilitar el proceso. 
Suministra información de German Pantoja Rocero, encargado de la Maquinaria por parte de RENTAN, Cel: 3182066725, Correo: ingenierio.operaciones5@rentan.com.co. 
Aclara que el contrato con RENTAN solo concibe la prestación del servicio y de la maquinaria, cuyo objetivo es dejar la vía lo más transitable posible, incluyendo recoger los escombros o material acumulado. En este caso ellos explican que las máquinas están es para recoger y destapar, no para lo contrario.</t>
    </r>
  </si>
  <si>
    <r>
      <rPr>
        <b/>
        <sz val="8"/>
        <color theme="1"/>
        <rFont val="Calibri"/>
        <family val="2"/>
        <scheme val="minor"/>
      </rPr>
      <t xml:space="preserve">Trámite 2: 17 de Febrero 2015 </t>
    </r>
    <r>
      <rPr>
        <sz val="8"/>
        <color theme="1"/>
        <rFont val="Calibri"/>
        <family val="2"/>
        <scheme val="minor"/>
      </rPr>
      <t xml:space="preserve">
La supervisora María Del Rosario Palacio Sánchez indica que la PQRS ya se socializo con la persona y la obra se estará ejecutando, aclara que ya el punto se atendió y no es esta en las prioridades de la programación alguna obra o intervención extra en el punto solicitado.
</t>
    </r>
  </si>
  <si>
    <r>
      <rPr>
        <b/>
        <sz val="8"/>
        <color theme="1"/>
        <rFont val="Calibri"/>
        <family val="2"/>
        <scheme val="minor"/>
      </rPr>
      <t xml:space="preserve">Trámite 2: 17 de Febrero 2015 </t>
    </r>
    <r>
      <rPr>
        <sz val="8"/>
        <color theme="1"/>
        <rFont val="Calibri"/>
        <family val="2"/>
        <scheme val="minor"/>
      </rPr>
      <t xml:space="preserve">
La supervisora María Del Rosario Palacio Sánchez comenta que por parte de la secretaria se dio la directriz de ejecutar un bordillo (Cordón – perimetral que retiene el agua y la evacua a exteriores de la vivienda, de aproximadamente 20 cm de alto), PQRS a la espera de confirmar la intervención y satisfacción.
</t>
    </r>
  </si>
  <si>
    <t>Henry Alzate Aguirre</t>
  </si>
  <si>
    <r>
      <rPr>
        <b/>
        <sz val="8"/>
        <color theme="1"/>
        <rFont val="Calibri"/>
        <family val="2"/>
        <scheme val="minor"/>
      </rPr>
      <t>Tramite 1: 17 de Febrero</t>
    </r>
    <r>
      <rPr>
        <sz val="8"/>
        <color theme="1"/>
        <rFont val="Calibri"/>
        <family val="2"/>
        <scheme val="minor"/>
      </rPr>
      <t xml:space="preserve">
Se reporta PQRS al supervisor Henry Alzate Aguirre:
Suministra información de German Pantoja Rocero, encargado de la Maquinaria por parte de RENTAN, Cel: 3182066725, Correo: ingenierio.operaciones5@rentan.com.co. 
Aclara que el contrato con RENTAN solo concibe la prestación del servicio y de la maquinaria, cuyo objetivo es dejar la vía lo más transitable posible, incluyendo recoger los escombros o material acumulado.
Recomienda: 
Hablar primero con los organismos municipales y la comunidad, concientizar o hacer campañas para que ellos se encarguen voluntariamente de los servicios de limpieza, armonizando un trabajo en conjunto con la maquinaria.
</t>
    </r>
  </si>
  <si>
    <r>
      <rPr>
        <b/>
        <sz val="8"/>
        <color theme="1"/>
        <rFont val="Calibri"/>
        <family val="2"/>
        <scheme val="minor"/>
      </rPr>
      <t xml:space="preserve">Trámite 3: 18 de Febrero 2015 </t>
    </r>
    <r>
      <rPr>
        <sz val="8"/>
        <color theme="1"/>
        <rFont val="Calibri"/>
        <family val="2"/>
        <scheme val="minor"/>
      </rPr>
      <t xml:space="preserve">
Consultando con la Gestora Social, se toma la decisión de verificar primeramente con la secretaria de planeación Montebello, tanto el estado del puente, su localización y si está en la zona a intervenir por la secretaria (vía secundaria) o por el municipio (via terciaria), en segunda instancia se pretende verificar la información directamente en el sitio.
</t>
    </r>
  </si>
  <si>
    <t xml:space="preserve">Fidel Castro </t>
  </si>
  <si>
    <r>
      <rPr>
        <b/>
        <sz val="8"/>
        <color theme="1"/>
        <rFont val="Calibri"/>
        <family val="2"/>
        <scheme val="minor"/>
      </rPr>
      <t>Trámite 1: 17 de Febrero 2015</t>
    </r>
    <r>
      <rPr>
        <sz val="8"/>
        <color theme="1"/>
        <rFont val="Calibri"/>
        <family val="2"/>
        <scheme val="minor"/>
      </rPr>
      <t xml:space="preserve">
Se reporta PQRS al ingeniero Andrés Mauricio Rodríguez Collazos y envía PQRS a Lina Urrea (Proyectos Especiales) quien reconoce saber acerca de la solicitud, pero argumenta que responder y dar la información del sector es facultad de María Katherine Roa, la PQRS está a la espera de comunicarse con la supervisora. 
</t>
    </r>
    <r>
      <rPr>
        <b/>
        <sz val="8"/>
        <color theme="1"/>
        <rFont val="Calibri"/>
        <family val="2"/>
        <scheme val="minor"/>
      </rPr>
      <t xml:space="preserve">Trámite 2: 18 de Febrero 2015 </t>
    </r>
    <r>
      <rPr>
        <sz val="8"/>
        <color theme="1"/>
        <rFont val="Calibri"/>
        <family val="2"/>
        <scheme val="minor"/>
      </rPr>
      <t xml:space="preserve">
Se reporta PQRS al ingeniero Alejandro Gómez Franco y comenta que la PQRS se está atendiendo con Fidel Castro y estarán dando pronta respuesta a la inquietud de la solicitante. </t>
    </r>
  </si>
  <si>
    <r>
      <rPr>
        <b/>
        <sz val="8"/>
        <color rgb="FF000000"/>
        <rFont val="Calibri"/>
        <family val="2"/>
        <scheme val="minor"/>
      </rPr>
      <t xml:space="preserve">Trámite 1: 6 de Febrero 2015 </t>
    </r>
    <r>
      <rPr>
        <sz val="8"/>
        <color rgb="FF000000"/>
        <rFont val="Calibri"/>
        <family val="2"/>
        <scheme val="minor"/>
      </rPr>
      <t xml:space="preserve">
Se reporta PQRS al Ingeniero Juan David Loaiza Gallego quien se comunicó con el ingeniero encargado de la renta de la maquinaria  Juan Francisco Giraldo, celular 3136241820, la solicitud está en trámite por parte de la empresa RENTAN quien a través del ingeniero estudiarán el caso.  </t>
    </r>
  </si>
  <si>
    <t xml:space="preserve">Mauricio Morales Gómez
Alejandro Gómez Franco
Fidel Castro </t>
  </si>
  <si>
    <r>
      <rPr>
        <b/>
        <sz val="8"/>
        <color theme="1"/>
        <rFont val="Calibri"/>
        <family val="2"/>
        <scheme val="minor"/>
      </rPr>
      <t>Trámite 1: 17 de Febrero 2015</t>
    </r>
    <r>
      <rPr>
        <sz val="8"/>
        <color theme="1"/>
        <rFont val="Calibri"/>
        <family val="2"/>
        <scheme val="minor"/>
      </rPr>
      <t xml:space="preserve">
Se reporta PQRS primeramente al equipo de cables, recomiendan especificar la zona en solicitud, dicen que como medida de prevención  en algunas zonas se dio la orden de cerrar el sendero peatonal ya que se transitaban animales, la solitud está en trámite a verificar más información por parte del solicitante y/o la gestora social, como también comprobar por parte de la SIF si se trataba efectivamente de un camino de herradura.
</t>
    </r>
    <r>
      <rPr>
        <b/>
        <sz val="8"/>
        <color theme="1"/>
        <rFont val="Calibri"/>
        <family val="2"/>
        <scheme val="minor"/>
      </rPr>
      <t xml:space="preserve">Trámite 2: 17 de Febrero 2015
</t>
    </r>
    <r>
      <rPr>
        <sz val="8"/>
        <color theme="1"/>
        <rFont val="Calibri"/>
        <family val="2"/>
        <scheme val="minor"/>
      </rPr>
      <t>El supervisor Omar Alexander se compromete a comunicarse con la Gestora Social Dorley Londoño Jimenez, quien pretende aclarar la situación, tomar fotos y hablar con la comunidad para darle pronta respuesta a la solicitud</t>
    </r>
    <r>
      <rPr>
        <b/>
        <sz val="8"/>
        <color theme="1"/>
        <rFont val="Calibri"/>
        <family val="2"/>
        <scheme val="minor"/>
      </rPr>
      <t xml:space="preserve">.  </t>
    </r>
  </si>
  <si>
    <t>SEMAFORO DE TRAMITE</t>
  </si>
  <si>
    <t>ULTIMA FECHA DE TRÁMITE</t>
  </si>
  <si>
    <r>
      <rPr>
        <b/>
        <sz val="8"/>
        <color theme="1"/>
        <rFont val="Calibri"/>
        <family val="2"/>
        <scheme val="minor"/>
      </rPr>
      <t xml:space="preserve">Trámite 1: 13 de Febrero 2015 </t>
    </r>
    <r>
      <rPr>
        <sz val="8"/>
        <color theme="1"/>
        <rFont val="Calibri"/>
        <family val="2"/>
        <scheme val="minor"/>
      </rPr>
      <t xml:space="preserve">
Se reporta PQRS a los ingenieros de Proyectos Especiales (Equipo de Cables) y a su vez se consulta en la dirección de valorización, nos dicen que el señor Luis Arturo Arango Osorio no aparece en los registros de las bases de datos, informar al señor para que se comunique con valorización y el equipo de cables, asi comprobar si el previo está a su nombre a través de una visita para un levantamiento catastral. </t>
    </r>
  </si>
  <si>
    <r>
      <rPr>
        <b/>
        <sz val="8"/>
        <color theme="1"/>
        <rFont val="Calibri"/>
        <family val="2"/>
        <scheme val="minor"/>
      </rPr>
      <t xml:space="preserve">Trámite 2: 19 de Febrero 2015  </t>
    </r>
    <r>
      <rPr>
        <sz val="8"/>
        <color theme="1"/>
        <rFont val="Calibri"/>
        <family val="2"/>
        <scheme val="minor"/>
      </rPr>
      <t xml:space="preserve">
Se elabora carta de respuesta revisada y aprobada por el supervisor, a la espera de las firma del director de Desarrollo Físico:
</t>
    </r>
    <r>
      <rPr>
        <b/>
        <sz val="8"/>
        <color theme="1"/>
        <rFont val="Calibri"/>
        <family val="2"/>
        <scheme val="minor"/>
      </rPr>
      <t xml:space="preserve">Trámite 3: 19 de Febrero 2015  </t>
    </r>
    <r>
      <rPr>
        <sz val="8"/>
        <color theme="1"/>
        <rFont val="Calibri"/>
        <family val="2"/>
        <scheme val="minor"/>
      </rPr>
      <t xml:space="preserve">
Se elabora carta de respuesta revisada y aprobada por el supervisor Hernán Giraldo Atehortúa  y el director de Desarrollo Físico, se envía la carta respuesta a la gestora social.</t>
    </r>
  </si>
  <si>
    <r>
      <rPr>
        <b/>
        <sz val="8"/>
        <color theme="1"/>
        <rFont val="Calibri"/>
        <family val="2"/>
        <scheme val="minor"/>
      </rPr>
      <t xml:space="preserve">Trámite 2: 19 de Febrero 2015  </t>
    </r>
    <r>
      <rPr>
        <sz val="8"/>
        <color theme="1"/>
        <rFont val="Calibri"/>
        <family val="2"/>
        <scheme val="minor"/>
      </rPr>
      <t xml:space="preserve">
Se elabora carta de respuesta revisada y aprobada por el supervisor, a la espera de las firma del director de Desarrollo Físico.
</t>
    </r>
    <r>
      <rPr>
        <b/>
        <sz val="8"/>
        <color theme="1"/>
        <rFont val="Calibri"/>
        <family val="2"/>
        <scheme val="minor"/>
      </rPr>
      <t xml:space="preserve">Trámite 3: 19 de Febrero 2015  </t>
    </r>
    <r>
      <rPr>
        <sz val="8"/>
        <color theme="1"/>
        <rFont val="Calibri"/>
        <family val="2"/>
        <scheme val="minor"/>
      </rPr>
      <t xml:space="preserve">
Se elabora carta de respuesta revisada y aprobada por el supervisor Hernán Giraldo Atehortúa  y el director de Desarrollo Físico, se envía la carta respuesta a la gestora social.</t>
    </r>
  </si>
  <si>
    <r>
      <rPr>
        <b/>
        <sz val="8"/>
        <color theme="1"/>
        <rFont val="Calibri"/>
        <family val="2"/>
        <scheme val="minor"/>
      </rPr>
      <t>Trámite 1: 18 de Febrero 2015</t>
    </r>
    <r>
      <rPr>
        <sz val="8"/>
        <color theme="1"/>
        <rFont val="Calibri"/>
        <family val="2"/>
        <scheme val="minor"/>
      </rPr>
      <t xml:space="preserve">
Se reporta PQRS telefónicamente al Supervisor Hernán Giraldo Atehortúa y dice que el Jueves (19/02/2015) estará disponible en la oficina para atender la dudas respectos a la PQRS.
</t>
    </r>
    <r>
      <rPr>
        <b/>
        <sz val="8"/>
        <color theme="1"/>
        <rFont val="Calibri"/>
        <family val="2"/>
        <scheme val="minor"/>
      </rPr>
      <t>Tramite 2: 19 de Febrero</t>
    </r>
    <r>
      <rPr>
        <sz val="8"/>
        <color theme="1"/>
        <rFont val="Calibri"/>
        <family val="2"/>
        <scheme val="minor"/>
      </rPr>
      <t xml:space="preserve">
Se reporta PQRS al supervisor Hernán Giraldo Atehortúa, recomienda que la socialización con el concejal se organice a través de la gestora social Dorley Londoño Jiménez, ya que no se tiene por ahora competencia para saber el cuándo, el cómo y cuánto para intervenir la obra, esperando recursos de regalías.</t>
    </r>
  </si>
  <si>
    <r>
      <rPr>
        <b/>
        <sz val="8"/>
        <color theme="1"/>
        <rFont val="Calibri"/>
        <family val="2"/>
        <scheme val="minor"/>
      </rPr>
      <t xml:space="preserve">Trámite 1: 18 de Febrero 2015
</t>
    </r>
    <r>
      <rPr>
        <sz val="8"/>
        <color theme="1"/>
        <rFont val="Calibri"/>
        <family val="2"/>
        <scheme val="minor"/>
      </rPr>
      <t>Se reporta PQRS telefónicamente al Supervisor Hernán Giraldo Atehortúa y dice que el Jueves (19/02/2015) estará disponible en la oficina para atender la dudas respectos a la PQRS.</t>
    </r>
    <r>
      <rPr>
        <b/>
        <sz val="8"/>
        <color theme="1"/>
        <rFont val="Calibri"/>
        <family val="2"/>
        <scheme val="minor"/>
      </rPr>
      <t xml:space="preserve">
Tramite 2: 19 de Febrero
</t>
    </r>
    <r>
      <rPr>
        <sz val="8"/>
        <color theme="1"/>
        <rFont val="Calibri"/>
        <family val="2"/>
        <scheme val="minor"/>
      </rPr>
      <t>Se reporta PQRS al supervisor Hernán Giraldo Atehortúa, recomienda dar un detallado más específico en las PQRS y/o adjuntar fotos del sitio en cuestión, con ánimo de puntualizar el caso, ya que en la vía se hacen obras  algunos puntos críticos.</t>
    </r>
  </si>
  <si>
    <r>
      <rPr>
        <b/>
        <sz val="8"/>
        <color theme="1"/>
        <rFont val="Calibri"/>
        <family val="2"/>
        <scheme val="minor"/>
      </rPr>
      <t>Trámite 1: 18 de Febrero 2015</t>
    </r>
    <r>
      <rPr>
        <sz val="8"/>
        <color theme="1"/>
        <rFont val="Calibri"/>
        <family val="2"/>
        <scheme val="minor"/>
      </rPr>
      <t xml:space="preserve">
Se reporta PQRS telefónicamente al Supervisor Hernán Giraldo Atehortúa y dice que el Jueves (19/02/2015) estará disponible en la oficina para atender la dudas respectos a la PQRS.
</t>
    </r>
    <r>
      <rPr>
        <b/>
        <sz val="8"/>
        <color theme="1"/>
        <rFont val="Calibri"/>
        <family val="2"/>
        <scheme val="minor"/>
      </rPr>
      <t xml:space="preserve">
Tramite 2: 19 de Febrero</t>
    </r>
    <r>
      <rPr>
        <sz val="8"/>
        <color theme="1"/>
        <rFont val="Calibri"/>
        <family val="2"/>
        <scheme val="minor"/>
      </rPr>
      <t xml:space="preserve">
Se reporta PQRS al supervisor Hernán Giraldo Atehortúa, recomienda dar un detallado más específico en las PQRS y/o adjuntar fotos del sitio en cuestión, para programar una visita que aclare la causalidad del problema.</t>
    </r>
  </si>
  <si>
    <r>
      <rPr>
        <b/>
        <sz val="8"/>
        <color theme="1"/>
        <rFont val="Calibri"/>
        <family val="2"/>
        <scheme val="minor"/>
      </rPr>
      <t xml:space="preserve">Trámite 1: 18 de Febrero 2015
</t>
    </r>
    <r>
      <rPr>
        <sz val="8"/>
        <color theme="1"/>
        <rFont val="Calibri"/>
        <family val="2"/>
        <scheme val="minor"/>
      </rPr>
      <t>Se reporta PQRS telefónicamente al Supervisor Hernán Giraldo Atehortúa y dice que el Jueves (19/02/2015) estará disponible en la oficina para atender la dudas respectos a la PQRS.</t>
    </r>
    <r>
      <rPr>
        <b/>
        <sz val="8"/>
        <color theme="1"/>
        <rFont val="Calibri"/>
        <family val="2"/>
        <scheme val="minor"/>
      </rPr>
      <t xml:space="preserve">
Tramite 2: 19 de Febrero
</t>
    </r>
    <r>
      <rPr>
        <sz val="8"/>
        <color theme="1"/>
        <rFont val="Calibri"/>
        <family val="2"/>
        <scheme val="minor"/>
      </rPr>
      <t>Se reporta PQRS al supervisor Hernán Giraldo Atehortúa, PQRS al tanto de hablar con la interventoría para verificar la situación, solicitando con ellos una visita en campo.</t>
    </r>
  </si>
  <si>
    <r>
      <rPr>
        <b/>
        <sz val="8"/>
        <color theme="1"/>
        <rFont val="Calibri"/>
        <family val="2"/>
        <scheme val="minor"/>
      </rPr>
      <t>Trámite 1: 18 de Febrero 2015</t>
    </r>
    <r>
      <rPr>
        <sz val="8"/>
        <color theme="1"/>
        <rFont val="Calibri"/>
        <family val="2"/>
        <scheme val="minor"/>
      </rPr>
      <t xml:space="preserve"> 
Se reporta PQRS a la Gestora Social e indica que la escala de acceso a la vivienda se construyó pero la solicitante no quedo satisfecha con la ejecución. La PQRS está abierta al momento de que se decida cómo se atiende el caso. </t>
    </r>
  </si>
  <si>
    <r>
      <rPr>
        <b/>
        <sz val="8"/>
        <color theme="1"/>
        <rFont val="Calibri"/>
        <family val="2"/>
        <scheme val="minor"/>
      </rPr>
      <t>Tramite 1: 20 de Febrero</t>
    </r>
    <r>
      <rPr>
        <sz val="8"/>
        <color theme="1"/>
        <rFont val="Calibri"/>
        <family val="2"/>
        <scheme val="minor"/>
      </rPr>
      <t xml:space="preserve">
Se consulta PQRS con el supervisor Fidel Castro, el anuncia que la PQRS debería estar cerrada, ya que en su momento se hizo la visita técnica, se tramitaron las respuestas al solicitante y a la alcaldía, a la espera de verificar el estado real de la PQRS y el encargado directo de ella.
</t>
    </r>
  </si>
  <si>
    <r>
      <rPr>
        <b/>
        <sz val="8"/>
        <color theme="1"/>
        <rFont val="Calibri"/>
        <family val="2"/>
        <scheme val="minor"/>
      </rPr>
      <t xml:space="preserve">Trámite 1: 18 de Febrero 2015 </t>
    </r>
    <r>
      <rPr>
        <sz val="8"/>
        <color theme="1"/>
        <rFont val="Calibri"/>
        <family val="2"/>
        <scheme val="minor"/>
      </rPr>
      <t xml:space="preserve">
Se reporta PQRS al Mauricio Morales Gómez, respecto a la alineación dice que esta no está afectando la propiedad, mas sin embargo la señora debe optar por salir de forma discreta y es de su competencia ajustar la entrada de la propiedad a su confort.
</t>
    </r>
    <r>
      <rPr>
        <b/>
        <sz val="8"/>
        <color theme="1"/>
        <rFont val="Calibri"/>
        <family val="2"/>
        <scheme val="minor"/>
      </rPr>
      <t xml:space="preserve">
Trámite 2: 18 de Febrero 2015 </t>
    </r>
    <r>
      <rPr>
        <sz val="8"/>
        <color theme="1"/>
        <rFont val="Calibri"/>
        <family val="2"/>
        <scheme val="minor"/>
      </rPr>
      <t xml:space="preserve">
Se reporta PQRS a la Supervisora María Del Rosario Palacio Sánchez y facilita la información de Trabajadora Social de la Interventoría en Occidente y Urabá, CEL: 3127367548; Correo: Jahyragomez84@gmail.com, solicita información de la solicitante y la PQRS para notificar la situación. PQR a la espera de la información por parte de la Trabajadora Social.</t>
    </r>
  </si>
  <si>
    <r>
      <rPr>
        <b/>
        <sz val="8"/>
        <color rgb="FF000000"/>
        <rFont val="Calibri"/>
        <family val="2"/>
      </rPr>
      <t>Trámite 1: 19 de Febrero</t>
    </r>
    <r>
      <rPr>
        <sz val="8"/>
        <color rgb="FF000000"/>
        <rFont val="Calibri"/>
        <family val="2"/>
      </rPr>
      <t xml:space="preserve">
La PQRS anteriormente fue respondida por Fidel, en el momento se elabora carta de respuesta a la espera de firma y aprobación por parte de Fernando Cortes Vela, para enviarla a la Gestora Social Dorley Londoño. 
</t>
    </r>
    <r>
      <rPr>
        <b/>
        <sz val="8"/>
        <color rgb="FF000000"/>
        <rFont val="Calibri"/>
        <family val="2"/>
      </rPr>
      <t>Trámite 2: 19 de Febrero</t>
    </r>
    <r>
      <rPr>
        <sz val="8"/>
        <color rgb="FF000000"/>
        <rFont val="Calibri"/>
        <family val="2"/>
      </rPr>
      <t xml:space="preserve">
Se envía carta a la Gestora Social quien estará de visita en el municipio. para ser entregada a la Solicitante. 
</t>
    </r>
  </si>
  <si>
    <r>
      <rPr>
        <b/>
        <sz val="8"/>
        <color theme="1"/>
        <rFont val="Calibri"/>
        <family val="2"/>
        <scheme val="minor"/>
      </rPr>
      <t>Trámite 1: 17 de Febrero 2015</t>
    </r>
    <r>
      <rPr>
        <sz val="8"/>
        <color theme="1"/>
        <rFont val="Calibri"/>
        <family val="2"/>
        <scheme val="minor"/>
      </rPr>
      <t xml:space="preserve">
Se  reporta PQRS a la supervisora María Del Rosario Palacio Sánchez, ella da la PQRS como resulta y adjunta evidencia de ejecución que se re-enviara para confirmación al gestor social, la PQRS está en trámite a espera del cierre por parte del Gestor Social. 
</t>
    </r>
    <r>
      <rPr>
        <b/>
        <sz val="8"/>
        <color theme="1"/>
        <rFont val="Calibri"/>
        <family val="2"/>
        <scheme val="minor"/>
      </rPr>
      <t>Trámite 2: 20 de Febrero 2015</t>
    </r>
    <r>
      <rPr>
        <sz val="8"/>
        <color theme="1"/>
        <rFont val="Calibri"/>
        <family val="2"/>
        <scheme val="minor"/>
      </rPr>
      <t xml:space="preserve">
Se  consulta con la Gestora social quien oportunamente envió las fotos con la evidencia de la ejecución al secretario de planeación, quien a su vez entregara informe al alcalde, La PQRS se da como respondida.</t>
    </r>
  </si>
  <si>
    <r>
      <rPr>
        <b/>
        <sz val="8"/>
        <color theme="1"/>
        <rFont val="Calibri"/>
        <family val="2"/>
        <scheme val="minor"/>
      </rPr>
      <t xml:space="preserve">Trámite 1: 18 de Febrero 2015 </t>
    </r>
    <r>
      <rPr>
        <sz val="8"/>
        <color theme="1"/>
        <rFont val="Calibri"/>
        <family val="2"/>
        <scheme val="minor"/>
      </rPr>
      <t xml:space="preserve">
Se reporta PQRS Remite a PQRS a Juan Fernando Franco Uribe y Juan Gonzalo de proyectos especiales. El puente no está en las intervenciones a su cargo. Remitir PQRS a la Alcaldía Municipal, quien es responsable de la red vial terciaria. Es la misma respuesta del año pasado, la PQRS estará en trámite hasta el momento en que se le haga llegar a la identidad responsable
</t>
    </r>
    <r>
      <rPr>
        <b/>
        <sz val="8"/>
        <color theme="1"/>
        <rFont val="Calibri"/>
        <family val="2"/>
        <scheme val="minor"/>
      </rPr>
      <t xml:space="preserve">.Trámite 2: 19 de Febrero 2015 </t>
    </r>
    <r>
      <rPr>
        <sz val="8"/>
        <color theme="1"/>
        <rFont val="Calibri"/>
        <family val="2"/>
        <scheme val="minor"/>
      </rPr>
      <t xml:space="preserve">
Se reporta PQRS en la oficina del DAPARD teniendo en cuenta que el solicitante en la Base de Datos argumenta que el DAPARD hacia presencia en la zona, la persona encargada del contacto con la Secretaria de Infraestructura no está hasta el día lunes (23/02/2015) ext 8873, se pretende aclarar con ella la dependencia que estaría a cargo de ayudar el municipio con respecto al puente.</t>
    </r>
  </si>
  <si>
    <r>
      <rPr>
        <b/>
        <sz val="8"/>
        <color theme="1"/>
        <rFont val="Calibri"/>
        <family val="2"/>
        <scheme val="minor"/>
      </rPr>
      <t>Trámite 1: 20 de Febrero 2015</t>
    </r>
    <r>
      <rPr>
        <sz val="8"/>
        <color theme="1"/>
        <rFont val="Calibri"/>
        <family val="2"/>
        <scheme val="minor"/>
      </rPr>
      <t xml:space="preserve"> 
Se reporta PQRS a la supervisora Maria Del Rosario Palacio Sánchez, indica que conoce el caso y que el señor Juan Guillermo López, ingeniero residente de la Obra no era el deudor directo y que la deuda fue pagada por el correspondiente contratista, la supervisora se comunicó con tal para solicitar los recibos correspondientes y dejar evidencia del pago, la PQRS está abierta a verificar la información o llamar a la solicitante y recibir satisfacción de cumplimiento.
</t>
    </r>
  </si>
  <si>
    <t>Omar Acevedo</t>
  </si>
  <si>
    <r>
      <rPr>
        <b/>
        <sz val="8"/>
        <color theme="1"/>
        <rFont val="Calibri"/>
        <family val="2"/>
        <scheme val="minor"/>
      </rPr>
      <t xml:space="preserve">Trámite 2: 21 de Febrero 2015 </t>
    </r>
    <r>
      <rPr>
        <sz val="8"/>
        <color theme="1"/>
        <rFont val="Calibri"/>
        <family val="2"/>
        <scheme val="minor"/>
      </rPr>
      <t xml:space="preserve">
Ejecución comprobada por la Gestora social en visita en campo
</t>
    </r>
  </si>
  <si>
    <r>
      <rPr>
        <b/>
        <sz val="8"/>
        <color theme="1"/>
        <rFont val="Calibri"/>
        <family val="2"/>
        <scheme val="minor"/>
      </rPr>
      <t>Trámite 2: 20 de Febrero</t>
    </r>
    <r>
      <rPr>
        <sz val="8"/>
        <color theme="1"/>
        <rFont val="Calibri"/>
        <family val="2"/>
        <scheme val="minor"/>
      </rPr>
      <t xml:space="preserve">
Se reporta PQRS con Fidel Castro, luego se consulta con José Bernardo Pulgarin el procedimiento a seguir para cambiar la jerarquía  de una vía de terciaria a secundaria en caso de que cumpla con los requisitos. Se redactará la carta para dar la respuesta.
</t>
    </r>
    <r>
      <rPr>
        <b/>
        <sz val="8"/>
        <color theme="1"/>
        <rFont val="Calibri"/>
        <family val="2"/>
        <scheme val="minor"/>
      </rPr>
      <t>Trámite 3: 21 de Febrero</t>
    </r>
    <r>
      <rPr>
        <sz val="8"/>
        <color theme="1"/>
        <rFont val="Calibri"/>
        <family val="2"/>
        <scheme val="minor"/>
      </rPr>
      <t xml:space="preserve">
Se envía carta de respuesta de la secretaria al Gestor Social para responder inquietud del solicitante.
</t>
    </r>
  </si>
  <si>
    <r>
      <rPr>
        <b/>
        <sz val="8"/>
        <color theme="1"/>
        <rFont val="Calibri"/>
        <family val="2"/>
        <scheme val="minor"/>
      </rPr>
      <t xml:space="preserve">Trámite 2: 21 de Febrero 2015 </t>
    </r>
    <r>
      <rPr>
        <sz val="8"/>
        <color theme="1"/>
        <rFont val="Calibri"/>
        <family val="2"/>
        <scheme val="minor"/>
      </rPr>
      <t xml:space="preserve">
Se reporta PQRS al ingeniero Andrés Mauricio Rodríguez Collazos y dice que la zona se está interviniendo con señalización preventiva y se está ampliando la vía para mejorar la movilidad de los vehículos  y se están gestionando los recursos para atender los puntos críticos, la PQRS está abierta a la espera en que los supervisores puedan dar una respuesta oficial respecto al tema.</t>
    </r>
  </si>
  <si>
    <r>
      <rPr>
        <b/>
        <sz val="8"/>
        <color theme="1"/>
        <rFont val="Calibri"/>
        <family val="2"/>
        <scheme val="minor"/>
      </rPr>
      <t>Trámite 2: 19 de Febrero 2015</t>
    </r>
    <r>
      <rPr>
        <sz val="8"/>
        <color theme="1"/>
        <rFont val="Calibri"/>
        <family val="2"/>
        <scheme val="minor"/>
      </rPr>
      <t xml:space="preserve">
Se reporta PQRS telefónicamente al Supervisor Álvaro Ríos y dice que el Sábado estará disponible en la oficina para atender la dudas respectos a la PQRS.
</t>
    </r>
    <r>
      <rPr>
        <b/>
        <sz val="8"/>
        <color theme="1"/>
        <rFont val="Calibri"/>
        <family val="2"/>
        <scheme val="minor"/>
      </rPr>
      <t>Tramite 3: 21 de Febrero 2015</t>
    </r>
    <r>
      <rPr>
        <sz val="8"/>
        <color theme="1"/>
        <rFont val="Calibri"/>
        <family val="2"/>
        <scheme val="minor"/>
      </rPr>
      <t xml:space="preserve">
Se reporta PQRS  al Supervisor Libardo Augusto Rico Giraldo, reporta que la situación está en punto de contraloría e informa que él se está encargando de la situación, solicitó actas a la interventoría  que llegaran el lunes. La PQRS está abierta a la espera de la entrega de la información.</t>
    </r>
  </si>
  <si>
    <r>
      <rPr>
        <b/>
        <sz val="8"/>
        <color theme="1"/>
        <rFont val="Calibri"/>
        <family val="2"/>
        <scheme val="minor"/>
      </rPr>
      <t xml:space="preserve">Trámite 3: 18 de Febrero 2015 </t>
    </r>
    <r>
      <rPr>
        <sz val="8"/>
        <color theme="1"/>
        <rFont val="Calibri"/>
        <family val="2"/>
        <scheme val="minor"/>
      </rPr>
      <t xml:space="preserve">
El Supervisor Juan David Loaiza Gallego indica que a la persona solicitante ya se le compro un motor y se le hizo una reparación a la nevera, la PQRS está en trámite en el momento de comprobar el hecho, a la espera de los recibos de la reparación.
</t>
    </r>
    <r>
      <rPr>
        <b/>
        <sz val="8"/>
        <color theme="1"/>
        <rFont val="Calibri"/>
        <family val="2"/>
        <scheme val="minor"/>
      </rPr>
      <t xml:space="preserve">Trámite 4: 20 de Febrero 2015 </t>
    </r>
    <r>
      <rPr>
        <sz val="8"/>
        <color theme="1"/>
        <rFont val="Calibri"/>
        <family val="2"/>
        <scheme val="minor"/>
      </rPr>
      <t xml:space="preserve">
Se llama a la Señora Sandra Patricia Mazo, indica que el costo del motor fue de 170.000 pesos y el costo de la reparación fue de 70.000 pesos, nos informa que está a la espera del pago y que envió el respectivo recibo del mismo a RENTAN para retribuir el gasto.
</t>
    </r>
  </si>
  <si>
    <r>
      <rPr>
        <b/>
        <sz val="8"/>
        <color theme="1"/>
        <rFont val="Calibri"/>
        <family val="2"/>
        <scheme val="minor"/>
      </rPr>
      <t xml:space="preserve">Trámite 4: 21 de Febrero 2015 </t>
    </r>
    <r>
      <rPr>
        <sz val="8"/>
        <color theme="1"/>
        <rFont val="Calibri"/>
        <family val="2"/>
        <scheme val="minor"/>
      </rPr>
      <t xml:space="preserve">
Se logra comunicar telefónicamente con la señora Amalia, indica que la empresa contratista recibió la cuenta del cobro del material y la mano de obra de los arreglos de la tubería, ella confirmara que el pago se haga efectivo el día lunes (21/02/2015). Adjuntara los documentos pertinentes.
</t>
    </r>
  </si>
  <si>
    <r>
      <rPr>
        <b/>
        <sz val="8"/>
        <color theme="1"/>
        <rFont val="Calibri"/>
        <family val="2"/>
        <scheme val="minor"/>
      </rPr>
      <t>Trámite 4: 21 de Febrero 2015</t>
    </r>
    <r>
      <rPr>
        <sz val="8"/>
        <color theme="1"/>
        <rFont val="Calibri"/>
        <family val="2"/>
        <scheme val="minor"/>
      </rPr>
      <t xml:space="preserve">
La Supervisora Claudia Andrea Borrego García comenta que no se pueden hacer los resaltos en afirmardo y averigua la posibilidad de hacer señalización vertical según las posibilidades del presupuesto.
</t>
    </r>
  </si>
  <si>
    <r>
      <rPr>
        <b/>
        <sz val="8"/>
        <color theme="1"/>
        <rFont val="Calibri"/>
        <family val="2"/>
        <scheme val="minor"/>
      </rPr>
      <t>Trámite 4: 21 de Febrero 2015</t>
    </r>
    <r>
      <rPr>
        <sz val="8"/>
        <color theme="1"/>
        <rFont val="Calibri"/>
        <family val="2"/>
        <scheme val="minor"/>
      </rPr>
      <t xml:space="preserve">
La Supervisora Claudia Andrea Borrego García da la orden a los contratistas en la obra a que construyan el disipador en mención, a la espera de carta oficial de inicio de obra extra para dejar constancia de la orden
</t>
    </r>
  </si>
  <si>
    <r>
      <rPr>
        <b/>
        <sz val="8"/>
        <color theme="1"/>
        <rFont val="Calibri"/>
        <family val="2"/>
        <scheme val="minor"/>
      </rPr>
      <t xml:space="preserve">Trámite 2: 17 de Febrero 2015 </t>
    </r>
    <r>
      <rPr>
        <sz val="8"/>
        <color theme="1"/>
        <rFont val="Calibri"/>
        <family val="2"/>
        <scheme val="minor"/>
      </rPr>
      <t xml:space="preserve">
Se reporta PQRS al supervisor Omar Alexander Acevedo a quien se le suministra la información de la gestora social, aclara que el tema lo manejo directamente el Supervisor Jhoan Manuel Galeano, recomendando entonces esperar el regreso del supervisor el día lunes (23/02/2015) .
</t>
    </r>
    <r>
      <rPr>
        <b/>
        <sz val="8"/>
        <color theme="1"/>
        <rFont val="Calibri"/>
        <family val="2"/>
        <scheme val="minor"/>
      </rPr>
      <t xml:space="preserve">Trámite 3: 23 de Febrero 2015 </t>
    </r>
    <r>
      <rPr>
        <sz val="8"/>
        <color theme="1"/>
        <rFont val="Calibri"/>
        <family val="2"/>
        <scheme val="minor"/>
      </rPr>
      <t xml:space="preserve">
Se reporta PQRS al supervisor Jhoan Manuel Galeano, se verifica nuevamente en valorización el estado de los previos y se encuentra que el señor es dueño de un previo retirado del sistema de cable (cercano a la vía terciaria – sector zancudo); también se encuentra una posible relación entre un dueño del previo sobre la estación del cable, la PQRS queda abierta a la espera de una decisión oficial por parte del supervisor y el equipo de valorización, quienes proponen una visita para comprobar la relación de los previos con el solicitante y su respectiva Documentación. 
</t>
    </r>
  </si>
  <si>
    <r>
      <rPr>
        <b/>
        <sz val="8"/>
        <color theme="1"/>
        <rFont val="Calibri"/>
        <family val="2"/>
        <scheme val="minor"/>
      </rPr>
      <t xml:space="preserve">Trámite 2: 23 de Febrero 2015 </t>
    </r>
    <r>
      <rPr>
        <sz val="8"/>
        <color theme="1"/>
        <rFont val="Calibri"/>
        <family val="2"/>
        <scheme val="minor"/>
      </rPr>
      <t xml:space="preserve">
Se reporta PQRS al ingeniero Jesús María Zapata, el ingeniero evidentemente reconoce el proceso que se presenta en la vía (hiso visita de campo e identifico la emergencia en la misma, es decir no estaba programado visitar la zona, puesto no se estaban al tanto de la situación), En la visita técnica realizada se identificó que la causa más probable del proceso erosivo es la infiltración a través del drenaje de la vía terciaria,  se aclara que es competencia del municipio atender la emergencia y que la secretaria  ha hecho sus labores de limpieza más sin embargo no ha ejecutado labores de ampliación, se solita hablar con el director de la gerencia operativa, para confirmar la  atención de la solicitud y el alcance de la colaboración. (Primeramente los supervisores dicen que lo más probable es que la secretaria de infraestructura gestione la ayuda con la maquinaria y que la administración se en encargue de coordinar la alternativa de ejecución, los trabajos técnicos y la supervisión).</t>
    </r>
  </si>
  <si>
    <r>
      <rPr>
        <b/>
        <sz val="8"/>
        <color theme="1"/>
        <rFont val="Calibri"/>
        <family val="2"/>
        <scheme val="minor"/>
      </rPr>
      <t xml:space="preserve">Trámite 1: 19 de Febrero 2015 </t>
    </r>
    <r>
      <rPr>
        <sz val="8"/>
        <color theme="1"/>
        <rFont val="Calibri"/>
        <family val="2"/>
        <scheme val="minor"/>
      </rPr>
      <t xml:space="preserve">
Se reporta PQRS al  Supervisor  Libardo Augusto Rico Giraldo y manifiesta que conoce la zona en cuestión, como primera medida indica que el presupuesto de nordeste esta corto para ser atendido el punto crítico, sin embargo recomendó hablar con Claudia Andrea Borrego García quien va a supervisar un contrato que podría cobijar la zona, la PQRS está abierta a confirmación de la información.
</t>
    </r>
    <r>
      <rPr>
        <b/>
        <sz val="8"/>
        <color theme="1"/>
        <rFont val="Calibri"/>
        <family val="2"/>
        <scheme val="minor"/>
      </rPr>
      <t xml:space="preserve">Trámite 2: 23 de Febrero 2015 </t>
    </r>
    <r>
      <rPr>
        <sz val="8"/>
        <color theme="1"/>
        <rFont val="Calibri"/>
        <family val="2"/>
        <scheme val="minor"/>
      </rPr>
      <t xml:space="preserve">
Se reporta PQRS a la  Supervisora Claudia Andrea Borrego García quien enviará a un especialista para realizar una visita técnica al punto crítico, dependiendo del informe se determinará la viabilidad de atender la situación.</t>
    </r>
  </si>
  <si>
    <r>
      <rPr>
        <b/>
        <sz val="8"/>
        <color theme="1"/>
        <rFont val="Calibri"/>
        <family val="2"/>
        <scheme val="minor"/>
      </rPr>
      <t xml:space="preserve">Trámite 1: 23 de Febrero 2015 </t>
    </r>
    <r>
      <rPr>
        <sz val="8"/>
        <color theme="1"/>
        <rFont val="Calibri"/>
        <family val="2"/>
        <scheme val="minor"/>
      </rPr>
      <t xml:space="preserve">
Se reporta PQRS al  Supervisor  Jorge Fidel Castro, aclara que el tramo en cuestión fue intervenido por el INVIAS y por ende es competencia de ella, la PQRS está abierta a la espera de hablar con el ingeniero Gabriel Olaya y verificar el estado actual de la intervención.
</t>
    </r>
  </si>
  <si>
    <t xml:space="preserve"> Jorge Fidel Castro</t>
  </si>
  <si>
    <t xml:space="preserve"> Maria Del Rosario Palacio Sánche</t>
  </si>
  <si>
    <t xml:space="preserve">Hernán Giraldo Atehortúa </t>
  </si>
  <si>
    <t>Libardo Augusto Rico Giraldo
Claudia Andrea Borrego García</t>
  </si>
  <si>
    <r>
      <rPr>
        <b/>
        <sz val="8"/>
        <color theme="1"/>
        <rFont val="Calibri"/>
        <family val="2"/>
        <scheme val="minor"/>
      </rPr>
      <t xml:space="preserve">Trámite 1: 23 de Febrero 2015 </t>
    </r>
    <r>
      <rPr>
        <sz val="8"/>
        <color theme="1"/>
        <rFont val="Calibri"/>
        <family val="2"/>
        <scheme val="minor"/>
      </rPr>
      <t xml:space="preserve">
Se reporta PQRS al  Supervisor  Edier Alonso López Velásquez quien realizará una visita técnica al punto, ya que se tiene duda sobre la ubicación y el estado actual, la PQRS está a la espera de la visita para la decisión por parte de la supervisión.
</t>
    </r>
  </si>
  <si>
    <t xml:space="preserve">  Edier Alonso López Velásquez</t>
  </si>
  <si>
    <r>
      <rPr>
        <b/>
        <sz val="8"/>
        <color theme="1"/>
        <rFont val="Calibri"/>
        <family val="2"/>
        <scheme val="minor"/>
      </rPr>
      <t>Trámite 2: 17 de Febrero 2015</t>
    </r>
    <r>
      <rPr>
        <sz val="8"/>
        <color theme="1"/>
        <rFont val="Calibri"/>
        <family val="2"/>
        <scheme val="minor"/>
      </rPr>
      <t xml:space="preserve">
El supervisor Omar Alexander se compromete a comunicarse con la Gestora Social Dorley Londoño Jimenez, quien pretende aclarar la situación, tomar fotos y hablar con la comunidad para darle pronta respuesta a la solicitud
</t>
    </r>
    <r>
      <rPr>
        <b/>
        <sz val="8"/>
        <color theme="1"/>
        <rFont val="Calibri"/>
        <family val="2"/>
        <scheme val="minor"/>
      </rPr>
      <t xml:space="preserve">
Trámite 3: 23 de Febrero 2015</t>
    </r>
    <r>
      <rPr>
        <sz val="8"/>
        <color theme="1"/>
        <rFont val="Calibri"/>
        <family val="2"/>
        <scheme val="minor"/>
      </rPr>
      <t xml:space="preserve">
PQRS resuelta, información suministrada por la Gestora Social, el supervisor adjuntara en archivo electrónico una copia del informe del mantenimiento por parte del contratista.
</t>
    </r>
  </si>
  <si>
    <r>
      <rPr>
        <b/>
        <sz val="8"/>
        <color theme="1"/>
        <rFont val="Calibri"/>
        <family val="2"/>
        <scheme val="minor"/>
      </rPr>
      <t>Tramite 1: 21 de Febrero 2015</t>
    </r>
    <r>
      <rPr>
        <sz val="8"/>
        <color theme="1"/>
        <rFont val="Calibri"/>
        <family val="2"/>
        <scheme val="minor"/>
      </rPr>
      <t xml:space="preserve">
Se reporta PQRS  al Supervisor Libardo Augusto Rico Giraldo, reporta que la situación está en punto de contraloría e informa que él se está encargando de la situación, solicitó actas a la interventoría  que llegaran el lunes. La PQRS está abierta a la espera de la entrega de la información.</t>
    </r>
  </si>
  <si>
    <r>
      <rPr>
        <b/>
        <sz val="8"/>
        <color theme="1"/>
        <rFont val="Calibri"/>
        <family val="2"/>
        <scheme val="minor"/>
      </rPr>
      <t xml:space="preserve">Trámite 2: 23 de Febrero 2015 </t>
    </r>
    <r>
      <rPr>
        <sz val="8"/>
        <color theme="1"/>
        <rFont val="Calibri"/>
        <family val="2"/>
        <scheme val="minor"/>
      </rPr>
      <t xml:space="preserve">
Se reporta PQRS a la Supervisora Claudia Andrea Borrego García, a la espera de que el contratista envié el contrato de compra del material, para verificar en qué términos se estipulo los términos de pago.
</t>
    </r>
  </si>
  <si>
    <r>
      <rPr>
        <b/>
        <sz val="8"/>
        <color theme="1"/>
        <rFont val="Calibri"/>
        <family val="2"/>
        <scheme val="minor"/>
      </rPr>
      <t>Trámite 1: 18 de Febrero 2015</t>
    </r>
    <r>
      <rPr>
        <sz val="8"/>
        <color theme="1"/>
        <rFont val="Calibri"/>
        <family val="2"/>
        <scheme val="minor"/>
      </rPr>
      <t xml:space="preserve">
Se reporta PQRS a Fidel Castro a quien se le envía la información para adjuntarla a la lista de solicitudes de convites, según los casos y el presupuesto predispuesto, la PQRS está a la espera de las decisiones por parte de las directivas.</t>
    </r>
  </si>
  <si>
    <t>GLADYS ELENA ALVARADO SANCHEZ</t>
  </si>
  <si>
    <t>EN EL KILOMETRO 11, DE LA VIA MARINILLA-NUEVO PEÑOL, SE CONSTRUYO UN MURO CON EL ACTUAL CONTRATO DE MANTENIMIENTO; DEBIDO A QUE ESTE NO TIENE NINGUN TIPO DE PROTECCION, YA SE PRESENTO UN ACCIDENTE, EN EL QUE UN ANCIANO CAYO Y SUFRIO VARIAS FRACTURAS, LA COMUNIDAD ESTA MUY PREOCUPADA Y SOLICITA UNA BARRERA DE PROTECCION METALICA.</t>
  </si>
  <si>
    <t>EN REITERADAS OPORTUNIDADES EL SEÑOR ALCALDE Y EL SECRETARIO DE PLANEACION DEL MUNICIPIO DE NARIÑO, HAN SOLICITADO UNA INTERVENCION DEL PUENTE SOBRE EL RIO SAN PEDRO, EN LA VIA QUE DE NARIÑO CONDUCE AL CORREGIMIENTO DE PUERTO VENUS.
MANIFIESTAN QUE LA ESTRUCTURA DEL PUENTE ESTA DEBILITADA  Y CORRE SERIO PELIGRO DE COLAPSAR, LO QUE DEJARIA INCOMUNICADO EL CORREGIMIENTO DE PUERTO VENUS Y SUS RESPECTIVAS VEREDAS.</t>
  </si>
  <si>
    <t>Salgar - La Cámara - La Quiebra</t>
  </si>
  <si>
    <t>MARTIN EMILIO BEDOYA B.</t>
  </si>
  <si>
    <t>DON MARTIN LIDER DEL CORREGIMIENTO LA CAMARA (VICEPRESIDENTE DE LA JAC), SOLICITÓ SEAN TENIDOS EN CUENTA PARA SEÑALIZACION Y REDUCTORES DE VELOCIDAD EN EL CASERÍO, CONSIDERA SE NECESITAN TRES REDUCTORES.
CONSIDERA QUE LA COMUNIDAD ESTA EN DISPOSICION DE COLABORAR CON LA MANO DE OBRA  Y EL MATERIAL DE PLAYA.</t>
  </si>
  <si>
    <t>CARLOS ARTURO MORENO CARO</t>
  </si>
  <si>
    <t>DON CARLOS COMENTA QUE LA OBRA DE DRENAJE QUE ESTA UBICADA EN LA SALIDA DEL CORREGIMIENTO ASIA CONCORDIA, SE ENCUENTRA TAPADA POR QUE UN VECINO NO PERMITE QUE ESTA FUNCIONES, DADO QUE LE DIFICULTA LA ENTRADA A SU FINCA.
EL TAPONAMIENTO DE LA OBRA PERJUDICA CERCA DE 5 VECINOS, DADO QUE EL AGUA SE DESBORDA E INUNDA SUS VIVIENDAS.
LA AYUDA REQUERIDA CONSISTE EN DESTAPAR LA OBRA Y ACORDAR CON EL VECINO QUE NO PERJUDIQUE A LA COMUNIDAD, CON UN BENEFICIO PARTICULAR.</t>
  </si>
  <si>
    <t>JORGE ELEICER LLANO</t>
  </si>
  <si>
    <t>EL SEÑOR ELIECER LLANO SOLICITA QUE SE REALICE ROCERIA, LIMPIEZA DE OBRAS Y CUNETAS EN LA VIA EL CARMEN DE VIBORAL - CANADA, YA QUE VARIAS DE LAS SEÑALES DE TRANSITO ESTAN CUBIERTAS DE MALEZA  LO CUAL PUEDE OCASIONAR ACCIDENTES  POR FALTA DE VISIBILIZACION DE LAS SEÑALES.</t>
  </si>
  <si>
    <t>EL SEÑOR ELIECER LLANO SOLICITA QUE SE REALICE DEMARCACION VIAL  EN LA VIA EL CARMEN DE VIBORAL- CANADA, PUESTO QUE DESDE HACE SIETE AÑOS APROXIMADAMENTE  QUE SE PAVIMENTO LA VIA, SE HA IDO BORRANDO LA PINTURA QUE DEMARCA LOS CARRILES, PONIENDO ESTO EN RIESGO LA INTEGRIDAD DE LOS PEATONES YA QUE ES UNA VIA MUY RAPIDA,  TRANSITADA POR ESTUDIANTES DE INSTITUCIONES EDUCATIVAS  DE LA ZONA   Y EMPLEADOS DE EMPRESAS PRODUCTORAS DE FLORES.</t>
  </si>
  <si>
    <t>Berrío (Cruce Ruta 60) - San Vicente</t>
  </si>
  <si>
    <t>DORA MILENA VIANA</t>
  </si>
  <si>
    <t>LA SEÑORA DORA MILENA, PESE A QUE SE REALIZO SEÑALIZACION ESCOLAR  EL PASADO 3 DE FEBRERO DE 2015 EN RESPUESTA A UNA PQRS, MANIFIESTA QUE LOS CARROS SIGUEN PASANDO  CON EXCESO DE VELOCIDAD POR LA ZONA ESCOLAR  DE LA SEDE FERMIN EMILIO MONTOYA, UBICADA EN LA VIA BERRIO ( CRUCE RUTA 60)- SAN VICENTE, POR LO TANTO SOLITA LA CONSTRUCCION DE RESALTOS  PARA GARANTIZAR LA INTEGRIDAD FISICA DE LOS ESTUDIANTES, DOCENTES Y PADRES DE FAMILIA.</t>
  </si>
  <si>
    <t>LUCIA MARGARITA ROJAS</t>
  </si>
  <si>
    <t>LA DOCENTE  LUCIA MARGARITA ROJAS, SOLICITA QUE SE REALICE ROCERIA  Y AMPLIACION DE LA DEMARCACION VIAL PARA LOS PEATONES, YA QUE LA VIA BERRIO ( CRUCE RUTA 60)- SAN VICENTE, ES UNA VIA RAPIDA, DONDE EL TRANSITO VEHICULAR PONE EN RIESGO  LA INTEGRIDAD DE LOS NIÑOS Y NIÑAS DEL CER ALTO DE LA COMPAÑÍA,  PESE A QUE SE REALIZO LA SEÑALIZACION ESCOLAR RECIENTEMENTE, ELLO NO HA LOGRADO  EL IMAPCTO ESPERADO</t>
  </si>
  <si>
    <t>San Vicente - El Peñol</t>
  </si>
  <si>
    <t>FRANCISCO JAVIER GALLO CEBALLOS</t>
  </si>
  <si>
    <t>EL SEÑOR FRANCISCO JAVIER SOLICITA QUE SE ATIENDA EL PUNTO CRITICO UBICADO EN EL KM 14+600 DE LA VIA SAN VICENTE- EL PEÑOL. PUESTO QUE SE PRESENTA PERDIDA DE BANCA Y EN TENPORADAS DE INVIERNO ESE SECTOR SE CONVIERTE  EB UN ARROYO CAUSADO POR LAS AGUAS QUE BAJAN DE  LOS EXTREMOS MAS ALTOS DE LA MONTAÑA, LO ANTERIOR  PONE EN RIESGO LA INTEGRIDAD DE LAS PERSONAS QUE TRANSITAN  LA VIA  TANTO A PIE COMO EN VEHICULOS COMO ESCALERAS. ADEMAS SOLICITA ROCERIA</t>
  </si>
  <si>
    <t>JOHN FRANCO</t>
  </si>
  <si>
    <t>EL SEÑOR JOHN FRANCO, CONCEJAL Y HABITANTE DE LA VEREDA LA TRAVESIA, SOLICITA SEÑALIZACION ESCOLAR Y RESALTOS  EN EL CER  SANTA ROSA, UBICADO EN LA VIA CONCEPCION- SAN VICENTE,  ESPECIFICAMENTE EN LA VEREDA LA TRAVESIA ( SAN VICENTE)  PUESTO QUE LA VIA LUEGO DE LA INTERVENCION REALIZADA POR LA SIF, SE HA VUELTO MAS RAPIDA Y TRANSITADA  POR MOTOS, AUTOBUSES Y TRANSPORTE DE CARGA, LO QUE PONE EN RIESGO LA VIDA DE LOS NIÑOS Y NIÑAS.</t>
  </si>
  <si>
    <t>LUIS FERNANDO ARENAS</t>
  </si>
  <si>
    <t>EL SEÑOR LUIS FERNANDO ARENAS SOLICITA QUE SE LE BRINDE  INFORMACION SOBRE EL INICIO DE OBRAS  EN LA VIA URBANA  EL ROBLE, YA QUE EN EL MES DE OCTUBRE DE 2014 SE LLEVO A CABO LA SOCIALIZACION DE INICIO DE OBRAS  Y SE DIJO POR PARTE DE LOS FUNCIONARIOS QUE ESTAS INICIARIAN EN DICHO AÑO Y HASTA LA FECHA  NO SE HAN REALIZADO</t>
  </si>
  <si>
    <t>17 al 23 de Febrero</t>
  </si>
  <si>
    <t>ESTADO DEL APLICATIVO</t>
  </si>
  <si>
    <t>DIFIEREN??</t>
  </si>
  <si>
    <t>ULTIMA FECHA DE TRÁMITE APLICATIVO</t>
  </si>
  <si>
    <r>
      <rPr>
        <b/>
        <sz val="8"/>
        <color theme="1"/>
        <rFont val="Calibri"/>
        <family val="2"/>
        <scheme val="minor"/>
      </rPr>
      <t>Trámite 2: 24 de Febrero</t>
    </r>
    <r>
      <rPr>
        <sz val="8"/>
        <color theme="1"/>
        <rFont val="Calibri"/>
        <family val="2"/>
        <scheme val="minor"/>
      </rPr>
      <t xml:space="preserve">
Se verifica con la Supervisora Claudia Borrego y comenta que efectivamente la vía se va a intervenir, ella trabaja precisamente en el asunto. 
</t>
    </r>
  </si>
  <si>
    <t>GESTOR SOCIAL</t>
  </si>
  <si>
    <t>Gladys Elena Alvarado Sánchez</t>
  </si>
  <si>
    <r>
      <rPr>
        <b/>
        <sz val="8"/>
        <color theme="1"/>
        <rFont val="Calibri"/>
        <family val="2"/>
        <scheme val="minor"/>
      </rPr>
      <t xml:space="preserve">Trámite 4: 25 de Febrero 2015 </t>
    </r>
    <r>
      <rPr>
        <sz val="8"/>
        <color theme="1"/>
        <rFont val="Calibri"/>
        <family val="2"/>
        <scheme val="minor"/>
      </rPr>
      <t xml:space="preserve"> 
Se envía respuesta al solicitante por parte de la secretaria a la Gestora Social para programar la visita que dará cierre y respuesta a la PQRS.
</t>
    </r>
  </si>
  <si>
    <t>Omar Alexander Acevedo Echeverry
Jhoan Manuel Galeano</t>
  </si>
  <si>
    <r>
      <rPr>
        <b/>
        <sz val="8"/>
        <color theme="1"/>
        <rFont val="Calibri"/>
        <family val="2"/>
        <scheme val="minor"/>
      </rPr>
      <t>Trámite 1: 25 de Febrero 2015</t>
    </r>
    <r>
      <rPr>
        <sz val="8"/>
        <color theme="1"/>
        <rFont val="Calibri"/>
        <family val="2"/>
        <scheme val="minor"/>
      </rPr>
      <t xml:space="preserve">
Respuesta
Se reporta PQRS al ingeniero Andrés Mauricio Rodríguez Collazos. Se programará hacer mantenimiento rutinario en el siguiente contrato de la subregión dado que los recursos del actual han sido agotados. PQRS a la espera de redactar y respuesta oficial
</t>
    </r>
  </si>
  <si>
    <t>Andrés Mauricio Rodríguez Collazos</t>
  </si>
  <si>
    <r>
      <rPr>
        <b/>
        <sz val="8"/>
        <color theme="1"/>
        <rFont val="Calibri"/>
        <family val="2"/>
        <scheme val="minor"/>
      </rPr>
      <t>Trámite 1: 25 de Febrero 2015
Respuesta</t>
    </r>
    <r>
      <rPr>
        <sz val="8"/>
        <color theme="1"/>
        <rFont val="Calibri"/>
        <family val="2"/>
        <scheme val="minor"/>
      </rPr>
      <t xml:space="preserve">
Se reporta PQRS al ingeniero Andrés Mauricio Rodríguez Collazos. Con el contrato de MEJORAMIENTO, REHABILITACIÓN, MANTENIMIENTO Y CONSTRUCCIÓN DE OBRAS COMPLEMENTARIAS EN LA RED VIAL DE LA SUBREGIÓN ORIENTE DEL DEPARTAMENTO DE ANTIOQUIASe realizó demarcación vertical y demarcación horizontal en zonas escolares, específicamente en el Km 25 + 400 (Alfareros de Sueños) y el Km 27 + 500 (Vereda Aguas Claras), se tendrá en cuenta su solicitud para ejecutarse de acuerdo a la consecución de presupuesto para la zona en el siguiente contrato.</t>
    </r>
  </si>
  <si>
    <r>
      <rPr>
        <b/>
        <sz val="8"/>
        <color theme="1"/>
        <rFont val="Calibri"/>
        <family val="2"/>
        <scheme val="minor"/>
      </rPr>
      <t>Trámite 3: 25 de Febrero 2015</t>
    </r>
    <r>
      <rPr>
        <sz val="8"/>
        <color theme="1"/>
        <rFont val="Calibri"/>
        <family val="2"/>
        <scheme val="minor"/>
      </rPr>
      <t xml:space="preserve">
La Gestora Social está recibiendo recomendación de la Alcaldía, para regresar a la supervisión del contrato.
</t>
    </r>
  </si>
  <si>
    <r>
      <rPr>
        <b/>
        <sz val="8"/>
        <color theme="1"/>
        <rFont val="Calibri"/>
        <family val="2"/>
        <scheme val="minor"/>
      </rPr>
      <t xml:space="preserve">Trámite 3: 25 de Febrero 2015 </t>
    </r>
    <r>
      <rPr>
        <sz val="8"/>
        <color theme="1"/>
        <rFont val="Calibri"/>
        <family val="2"/>
        <scheme val="minor"/>
      </rPr>
      <t xml:space="preserve">
La Gestora Social en campo identifica que efectivamente la PQRS esta siendo atendida por el DAPARD, se da como resuelta ya que desde el comienzo no era competencia de la SIF resolver la solicitud.
</t>
    </r>
  </si>
  <si>
    <t>VALLE DEL ABURRÁ</t>
  </si>
  <si>
    <t>BAJO CAUCA</t>
  </si>
  <si>
    <t>PUERTO NARE</t>
  </si>
  <si>
    <t>SABANALARGA</t>
  </si>
  <si>
    <t>CAICEDO</t>
  </si>
  <si>
    <t>VENECIA</t>
  </si>
  <si>
    <t>TARSO</t>
  </si>
  <si>
    <t>SANTA BÁRBARA</t>
  </si>
  <si>
    <t>LA ESTRELLA</t>
  </si>
  <si>
    <t>HISPANIA</t>
  </si>
  <si>
    <t>CONCORDIA</t>
  </si>
  <si>
    <t>ANDES</t>
  </si>
  <si>
    <t>NECOCLÍ</t>
  </si>
  <si>
    <t>NECHÍ</t>
  </si>
  <si>
    <t>CIUDAD BOLÍVAR</t>
  </si>
  <si>
    <t>DABEIBA</t>
  </si>
  <si>
    <t>ANGOSTURA</t>
  </si>
  <si>
    <t>TURBO</t>
  </si>
  <si>
    <t>Las Flores (Puerto Berrío) - Bodegas - La Ye</t>
  </si>
  <si>
    <t>JULIO CESAR VIDAL HENAO</t>
  </si>
  <si>
    <t>FALTA PRESENCIA DEL INGENIERO CIVIL DE LA ITERVENTORIA PARA REALIZAR CONTROL ALAS OBRAS REALIZADAS EN LA VIA.</t>
  </si>
  <si>
    <t>DURANTE EL RECORRIDO DE CONTROL SOCIAL Y VEEDURÍA, LOS SIGUIENTES TRAMOS FUERON REPORTADOS POR EL CIUDADANO CON FALENCIAS EN OBRAS:
3+800: FALTA RECOGER MATERIAL SOBRANTE DEL ENSANCHE DE LA VÍA, YA QUE ESTÁ OBSTRUYENDO LAS CUNETAS QUE CONDUCEN EL AGUA A LAS OBRAS TRANSVERSALES, IMPIDIENDO EL PROCESO DE DESAGUE. FALTA AGREGAR MATERIAL. 
9+000: FALTA RECOGER MATERIAL SOBRANTE DEL ENSANCHE DE LA VÍA, YA QUE ESTÁ OBSTRUYENDO LAS CUNETAS QUE CONDUCEN EL AGUA A LAS OBRAS TRANSVERSALES, IMPIDIENDO EL PROCESO DE DESAGUE. AGREGAR MATERIAL PARA NIVELAR Y ENCAUZAR EL AGUA HACIA LA OBRA TRANSVERSAL.
9+300: FALTA RECOGER MATERIAL SOBRANTE DEL ENSANCHE DE LA VÍA, YA QUE ESTÁ OBSTRUYENDO LAS CUNETAS QUE CONDUCEN EL AGUA A LAS OBRAS TRANSVERSALES, IMPIDIENDO EL PROCESO DE DESAGUE. 
NO HAY CONFORMACIÓN DE CUNETA.
10+000: FALTA RECOGER MATERIAL SOBRANTE DEL ENSANCHE DE LA VÍA, YA QUE ESTÁ OBSTRUYENDO LAS CUNETAS QUE CONDUCEN EL AGUA A LAS OBRAS TRANSVERSALES, IMPIDIENDO EL PROCESO DE DESAGUE.
EN EL COSTADO OCCIDENTAL FALTA CONFORMAR CUNETA.
13+000: FALTA RECOGER MATERIAL SOBRANTE DEL ENSANCHE DE LA VÍA, YA QUE ESTÁ OBSTRUYENDO LAS CUNETAS QUE CONDUCEN EL AGUA A LAS OBRAS TRANSVERSALES, IMPIDIENDO EL PROCESO DE DESAGUE. 
FALTA CONFORMACIÓN DE CUNETA. 
LA OBRA TRANSVERSAL EMPIEZA A TENER ALGO DE OBSTRUCCIÓN POR LODO.
14+600: FALTA AGREGAR MATERIAL DE AFIRMADO.
FALTA SUBIR RASANTE PARA FACILITAR CAÍDA DEL AGUA.
16+000: FALTA AGREGAR MATERIAL DE AFIRMADO, HICIERON LA CONFORMACIÓN SÓLO CON LO QUE HABÍA.
18+200: EN ESTE PUNTO FINALIZA EL PROCESO DE CONFORMACIÓN Y ENSANCHE HASTA LA FECHA. 
19+700: PARTE CENTRAL DE LA VEREDA SANTA MARTINA. LA COMUNIDAD PIDE UN SISTEMA PARA EL CIERRE DE LA OBRA TRANSVERSAL Y ASÍ EVITAR ACCIDENTES, YA QUE EN ESTE PUNTO CONFLUYEN MUCHAS PERSONAS PARA SUS ACTIVIDADES COTIDIANAS INCLUYENDO NIÑOS Y NIÑAS QUE PUEDEN CAER POR LA OBRA.</t>
  </si>
  <si>
    <t>Mulas - Puerto Nare</t>
  </si>
  <si>
    <t>RUBEN LOPEZ GIRALDO</t>
  </si>
  <si>
    <t>EN EL PUNTE LA ARENOSA ACTULAMENTE SE LLEVA A CABO UNA INTERVENCION, EN ENO DE LOS TALUDES DE ACCESO, EL CUAL PRESENTA SISTEMA CONSTRUCTIVOY DISPOSICION DE BOLSAS DE TIERRA, SOBRE LAS CUALES SE TIENE INCERTIDUMBRE, EN LA GARANTIA DE ESTABILIDADDEL TALUD,POR ESTO SE SOLICITA VERIFICACION SOBRE ESTE MODELO CONSTRUCTIVO.
TODO ESTO SE EXPONE PARTIENDO DEL CONOCIMIENTO QUE COMO INGENIERO TIENE, EL SEÑOR SECRETARIO DE PLANEACION QUIEN HACE LA RESPECTIVA SOLICITUD.</t>
  </si>
  <si>
    <t>IMFRAME</t>
  </si>
  <si>
    <t>HECTOR JAIRO LOTERO</t>
  </si>
  <si>
    <t>1. SE LE SOLICITA A LA ALCALDIA DE REMEDIOS, LA IMPLEMENTACION DE UN FRENTE DE TRABAJO CERCA AL INGRESO A LA CABECERA MUNICIPAL, CON EL OBJETIVO DE REALIZAR EL CAMBIO DE LA TUBERIA CORRESPONDIENTE AL PLAN DE ACUEDUCTO Y ALCANTARILLADO, ANTES DE INICIARSE EN ESTE TRAMO EL MEJORAMIENTO DE LA VIA.</t>
  </si>
  <si>
    <t>MUNICIPIO DE REMEDIOS</t>
  </si>
  <si>
    <t>JUAN DAVID HENAO</t>
  </si>
  <si>
    <t>SE PROPONE POR PARTE DE LA COMUNIDAD DE LA VEREDA EL CHIQUILLO, DEL MUNICIPIO DE REMEDIOS, LA REALIZACION DE UN CONVITE PARA MANTENIMIENTO DE LA VIA TERCIARIA.</t>
  </si>
  <si>
    <t>TRAMOS REPORTADOS CON FALLAS EN LA VEREDA MARTANA:
1. PUENTE MARTANA: AFECTADO POR EL SOBREPESO CAUSADO POR LA CARGA DE MADERA A TRAVES DE CAMIONES, CUYO TRAFICO ES FRECUENTE Y LA RECUPERACION DE LA VIA INFLUENCIO EN SU INCREMENTO. ESTE PUENTE SOLO ESTABA CONSTRUIDO PARA FINES MILITARES Y NO PARA RESISTIR ALTAS CARGAS. 
2. SECTOR MILLAN: SE PRESENTAN PROBLEMAS EN LAS CUNETAS. LA OBRA TRANSVERSAL NO PERMITE LA CAIDA DEL AGUA Y ESTA SE REPRESA. NO SE RECOGIO LO QUE QUEDO DE LA OBRA Y SE DEJO AMONTONADO. LAS CUNETAS PRESENTAN OBSTRUCCION. 
3. UNOS METROS MAS ADELANTE DEL TRAMO ANTERIOR: SE PRESENTA TAMBIEN OBSTRUCCION DE CUNETAS, REPRESAMIENTO DE AGUA Y LA OBRA DE ARTE PRESENTA AVERIAS.</t>
  </si>
  <si>
    <t>INFRAME</t>
  </si>
  <si>
    <t>HECTOR JAIRO LOTERO
HECTOR JAIRO LOTERO</t>
  </si>
  <si>
    <t>TRAMOS REPORTADOS CON FALLAS EN LA VEREDA SANTA LUCIA:
1. SECTOR LA PACHANGA: RIESGO DE PERDIDA DE BANCA, YA QUE RECIBE CAIDA DE AGUA Y ELLO ESTA HACIENDO QUE SE DESBORDE LA VIA. 
2. FINCA LAGARTIJAL: OBRA TRANSVERSAL SIN RECUPERAR. ERRORES EN LA CUNETA PARA CONDUCCION DEL AGUA.</t>
  </si>
  <si>
    <t>TRAMOS REPORTADOS CON FALLAS EN LA VEREDA CABUYAL:
1. Y 2. ENTRE FINCA LAGARTIJAL Y EL COQUITO Y UNOS METROS MAS ADELANTE: FALLAS POR OBRA TRANSVERSAL OBSTRUIDA Y NO HAY CUNETA PARA QUE EL AGUA LLEGUE AL DESCOLE. PUNTO CRITICO POR DAÑO DE LA BANCA POR CAIDA DE AGUA. 
3. LAS PALMAS: FALTA DE DESAGUES Y OBRA TRANSVERSAL CON FALLAS, YA QUE SE ACUMULA EL AGUA SOBRE LA VIA.</t>
  </si>
  <si>
    <t>TRAMOS REPORTADOS CON FALLAS EN LA VEREDA LA CRUZ:
1. FINCA MONTE BELLO: MATERIAL POR EL TRAFICO SE VA RECOGIENDO HACIA LOS LADOS Y OBSTRUYE LA VIA. OBSTRUCCION DE CUNETAS. HISTORICO COMO PUNTO CRITICO. 
2. PARAJE EL POLLO 30 MTS MAS ADELANTE: MATERIAL POR EL TRAFICO SE VA RECOGIENDO HACIA LOS LADOS Y OBSTRUYE LA VIA. OBSTRUCCION DE CUNETAS. HISTORICO COMO PUNTO CRITICO. 
3. 10 MTS MAS ADELANTE: MATERIAL POR EL TRAFICO SE VA RECOGIENDO HACIA LOS LADOS Y OBSTRUYE LA VIA. OBSTRUCCION DE CUNETAS. HISTORICO COMO PUNTO CRITICO.
4. ENTRADA A PLAZA NUEVA: OBSTRUCCION. HACE FALTA LA APLICACION DE MATERIAL ESTERIL SIN PIEDRA.</t>
  </si>
  <si>
    <t>TRAMOS REPORTADOS CON FALLAS EN LA VEREDA LA CEIBA:
1. ANTES DE LAS PARTIDAS DE RIONEGRITO: SE REQUIERE CONSTRUIR OBRA DE CUNETAS Y TRANSVERSALES. 
2. SECTOR RAMILLETES: SE REQUIERE OBRA TRANSVERSAL PARA ATENDER NACIMIENTO DE AGUAS, YA QUE A CAUSA DEL SEDIMENTO, LLEGA A TAL PUNTO QUE PASA POR ENCIMA DE LA VIA.</t>
  </si>
  <si>
    <t>TRAMOS REPORTADOS CON FALLAS EN LA VEREDA COSTEÑAL:
1. SECTOR CASA DE MATERIAL A 100 M. DELANTE DE MURO GRANDE EN CONSTRUCCION: PERDIDA DE BANCA POR LLUVIA.
2. FINCA TUCUMAN: RECIBE AGUA Y ELLO OCASIONA QUE LA BANCA EMPIECE A DESBORDARSE. 
3. RIESGO DE PERDIDA DE BANCA POR AGUA.</t>
  </si>
  <si>
    <t>TRAMOS REPORTADOS CON FALLAS EN LA VEREDA CHORRO E' LAGRIMAS:
1. FINCA HOMBRE SOLO: DERRUMBE MENOR POR TRAMO SOMBREADO QUE NO RECIBE SOL Y NO PERMITE QUE SE SEQUE LA HUMEDAD.
2. EL VERGEL: OBSTRUCCION EN OBRAS TRANSVERSALES Y FLUJO DE AGUA SOBRE LA VIA.
3. PAILITAS: RIESGO DE PERDIDA DE BANCA Y LA VIA MUESTRA UNA CONDICION COMO SI NO HUBIESE SIDO INTERVENIDA.</t>
  </si>
  <si>
    <t>El Boton - Paso Ancho - Frontino</t>
  </si>
  <si>
    <t>ANGEL ANTONIO GARCIA</t>
  </si>
  <si>
    <t>SE SOLICITA POR PARTE DEL SEÑOR ANGEL ANTONIO, CANALIZACION DE AGUAS RESIDUALES Y LLUVIAS EN LA VIA DE LA VEREDA SAN LAZARO DEL MUNICIPIO DE FRONTINO, YA QUE EN EL INICIO DE LA VIA Y DURANTE APROXIMADAMENTE 100 METROS NO SE CUENTA CON DESAGUE Y LA VIA ESTA EN MAL ESTADO, SE HACE NECESARIO ADEMAS PARA QUE NO OCASIONE DAÑO EN LA VIA SECUNDARIA (VIA FRONTINO - PASO ANCHO - NUTIBARA) QUE EN LA ACTUALIDAD SE ENCUENTRA EN MANTENIMIENTO.</t>
  </si>
  <si>
    <t>MARIBEL TORRES</t>
  </si>
  <si>
    <t>SE SOLICITA POR PARTE DE LA SEÑORA MARIBEL TORRES (CONCEJALA CORREGIMMIENTO CORDOBA) LA INSTALACION DE REDUCTORES DE VELOCIDAD EN ALGUNOS SECTORES DEL CORREGIMIENTO DE CORDOBA DEL MUNICIPIO DE SOPETRAN, COMO: ENTRADA Y SALIDA DEL CORREGIMIENTO PORQUE HAY UNA CURVA PELIGROSA Y ALGUNAS CASAS SE ESTAN VIENDO AFECTADAS, EN LA ENTRADA Y SALIDA DE SECTOR EL SALADO PORQUE HAY NIÑOS CONSTANTEMENTE EN LA VIA, ADEMAS SE SOLICITA SEÑALIZACION COMO: CURVA PELIGROSA, NIÑOS EN LA VIA, REDUZCA LA VELOCIDAD ENTRE OTRAS SEÑALES QUE AYUDEN A MEJORAR LA SEGURIDAD DE LA VIA.</t>
  </si>
  <si>
    <t>RAFAEL ANGEL ORTIZ</t>
  </si>
  <si>
    <t>SE SOLICITA POR PARTE DEL SEÑOR RAFAEL INSTALACION DE REDUCTORES DE VELOCIDAD EN LA ENTRADA Y SALIDA DEL SECTOR CUATRO ESQUINA, DE LA VIA SOPETRAN - OLAYA  YA QUE EN ESTE PUNTO CONVERGEN CUATRO VIAS, HACIENDO DE ESTE LUGAR UN SECTOR NEURALGICO LO QUE AUMENTA EL PELIGRO DE ACCIDENATLIDAD EN LA VIA, NOTA: ES IMPORTANTE DARLE TRAMITE A ESTA SOLICITUD YA QUE LOS HABITANTES DEL SECTOR ESTAN  INCONFORMES Y ESTAN RECOGIENDO FIRMAS PARA INSTAURAR DERECHO DE PETICION.</t>
  </si>
  <si>
    <t>Liborina - Sabanalarga</t>
  </si>
  <si>
    <t>CARLOS ARTURO HENAO L</t>
  </si>
  <si>
    <t>SE RECIBE PQRS POR PARTE DEL SEÑOR ALCLDE DEL MUNICIPIO DE SABANALARGA CARLOS ARTURO HENAO DONDE SUGIERE EL MANTENIMIENTO DE PUNTOS CRITICOS "LAS PEÑAS" - LA HONDA QUE EN REPETIDAS OCASIONES TIENE DERRUMBES OBSTACULIZANDO LA UNICA VIA DEL ACCESO A LA LOCALIDAD Y A LA FECHA NO SE HA RECIBIDO APOYO DE LA GOBERNACION DE ANTIOQUIA. TAMBIEN SE SUGIERE QUE LA INTERVENCION DE LA VIA QUE VA DE LIBORINA A SABANALARGA SE HAGA A LA INVERSA, SABANALARGA - LIBORINA, ADEMAS TENER EN CUENTA PARA COTRATACION EN LA OBRA MANO DE OBRA NO CALIFICADA DEL MUNICIPIO DE SABANALARGA.</t>
  </si>
  <si>
    <t>SE RECIBE PQRS DE LA SEÑORA ANA ISABEL GONZALEZ PRESIDENTA DE ASOCOMUNAL DE QUEBRADA SECA MUNICIPIO DE OLAYA, PARA LIMPIEZA DE CUNETAS CON MAQUINARIA A LA ALTURA DE LA CURVA ANTES DE LLEGAR A QUEBRADA SECA, HAY ESTRACHAMIIENTO EN LA VIA Y SE HACE DIFICULTOSO EL TRANSITO PARA EL PEATON, SE SOLICITA ADEMAS REPARCHEO A LA ALTURA DE PREDIOS DE LA FINCA PATIO BONITO.</t>
  </si>
  <si>
    <t>HODERLYN ALVAREZ OSPINA</t>
  </si>
  <si>
    <t>SE RECIBE PQRS POR PARTE DEL SEÑOR HODERLYN ALVAREZ PERSONERO DEL MUNICIPIO DE OLAYA, QUIEN MANIFIESTA QUE SERÍA IMPORTANTE QUE SE DEJASE ACOMETIDA DE ENERGIA TANTO PARA LA ILUMINICION PERMANENNTE DEL PUENTE COMO DE LA ILUMMINACION NAVIDEÑA DEL MISMO, OTRA DE SUS INQUIETUDES ES SI DENTRO DEL CONTRATO DE MANTENIMIENTO SE INCLUYE LA TENSION DE LOS CABLES DEL PUENTE Y QUE SE TUVIERA EN CUENTA LA VIGILANCIA Y CONTROL DEL PUENTE TANTO EN E DIA COMO EN LA NOCHE .</t>
  </si>
  <si>
    <t>DORA ORTIZ VALDERRAMA</t>
  </si>
  <si>
    <t>Ambiental</t>
  </si>
  <si>
    <t>SE REALIZA UNA OBRA  PARA RIEGO EN CEMENTO PERO NO LO HICIERON COMPLETO, POR LO QUE EL AGUA NO PERMANECE EN EL SITIO, PORQUE EL CEMENTO Y LOS MUROS NO FUERON SUFICIENTES Y SE ROMPIERON DOS LADOS, ENTONCES EL AGUA CORREO POR OTRO LADO Y LA PRESION DEL AGUA ES INSUFICIENTE Y NO CUMPLE LA LABOR PARA LA CUAL FUE CONSTRUIDO</t>
  </si>
  <si>
    <t>Caicedo - Urrao</t>
  </si>
  <si>
    <t>EDILIA GONZALEZ</t>
  </si>
  <si>
    <t>EN LA VIA CAICEDO-URRAO-RIO CAUCA, ALGUNOS DE LOS MOJONES QUE MARCAN LA ABSCISA,, SE PERCIBEN CAIDOS, ROTOS Y OTROS A PUNTO DE CAER, SE SUGIERES REVISAR CON EL CONTRATISTA LA PROFUNDIDAD DE LA BASE CON QUE FUERON INSTALADOS.</t>
  </si>
  <si>
    <t>EN LA VIA ABEJORRAL-LA CEJA EN EL TRAMO  DEL CHAGUALO, DONDE SE PRESENTA LA FALLA GEOLÓGICA Y QUE ACTUALMENTE ESTÁ SIENDO INTERVENIDA POR EL CONTRATISTA
INGECON, NO SE TIENE UN PLAN DE MANEJO DE TRANSITO ADECUADO. LA VIA ES CERRADA CONSTANTEMENTE SIN PREVIO AVISO A LA COMUNIDAD  PRESENTANTO RETRASOS EN LOS DESPLAZAMIENTOS DE LAS  PERSONAS QUE UTILIZAN ESTA VIA.</t>
  </si>
  <si>
    <t>RAMIRO DE JESUS DEL RIO</t>
  </si>
  <si>
    <t>EN LA VIA LA CEJA-GUAICO GRANDE-ABEJORRAL, EN EL SITIO DONDE  ES LA ENTRADA PARA LA VEREDA EL CHAGUALO, NO SE ENCUENTRA NINGÚN TIPO DE SEÑALIZACIÓN, LO QUE HACE QUE LAS PERSONAS  QUE VAN PARA DICHO LUGAR SE DESORIENTEN Y PIERDAN EL RUMBO, LA COMUNIDAD SOLICITA SEA SEÑALIZADA LA ENTRADA A LA VEREDA, YA QUE HAN TENIDO QUE RECURRIR A ALTERNATIVAS POCO CONVENCIONALES.</t>
  </si>
  <si>
    <t>PABLO EVELIO GUARIN SALAZAR</t>
  </si>
  <si>
    <t>CON EL PROYECTO ANTERIOR DE PAVIMENTACION DE LA VIA GRANADA-ELCHOCO-SAN CARLOS, DURANTE EL PROCESO DE AMPLIACION DE ESTA, SE DESESTABILIZO UN TALUD UBICADO EN LA VIA PALMICHAL DEL MUNICIPIO DE SAN CARLOS Y PRESENTA PUNTO CRITICO POR DESLIZAMIENTO  CONTINUO QUE GENERO DESTRUCCION DE LA VIA, EL CUAL ES UN RAMAL PARA EL INGRESO A LA BASE MILITAR UBICADA EN EL MUNICIPIO. SE SOLICITA UN ESTUDIO GEOLOGICO DE LA MONTAÑA Y UNA POSIBLE INTERVENCION.</t>
  </si>
  <si>
    <t>Alejandría - El Bizcocho (San Rafael)</t>
  </si>
  <si>
    <t>JHON JAIRO CIRO</t>
  </si>
  <si>
    <t>EN LA VIA ALEJANDRIA-EL BIZCOCHO-SAN RAFAEL, DEBIDO A LA OLA INVERNAL,EN VARIOS TRAMOS DE LA VIA SE PRESENTAN SITUACIONES CRITICAS QUE PONEN EN PELIGRO LA INTEGRIDAD DE LAS PERSONAS QUE TRANSITAN EN VEHICULOS POR EL SECTOR.
TRAMO 1: MANANTIAL HAY PRESENCIA DE PIEDRAS LEVANTADAS EN LA VIA, SE NECESITA UNA OBRA TRANSVERSAL.
TRAMO 2: EN LA PARTIDA DE LAS CRUCES, SE DAÑO UN MURO DE CONTENCION DESDE HACE APROXIMADAMENTE 2 AÑOS, CUANDO LLUEVE SE PRODUCE MUCHO PANTAÑO LO QUE GENERA QUE LOS CARROS SE PEGUEN, ADEMAS LA VIA ES MUY ESTRECHA Y PRACTICAMENTE LOS CARROS NO CABEN.
TRAMO3: ANTES DE LLEGAR A LA ESCUELA DE PIEDRAS HAY 2 CUNETAS QUE SE LES FUE EL CABEZOTE, SE SOLICITA SEAN RESTAURADOS.
EN GENERAL SE SOLICITA RECORRIDO DE RECONOCIMIENTO DE TODA LA VIA, LOS SEÑORES IVAN GUSTAVO CIRO TEL, 3136127376,NICOLAS USME HENAO TEL 3122066365, SE OFRECEN PARA HACER EL ACOMPAÑAMIENTO  EN EL RECORRIDO POR LA VIA.</t>
  </si>
  <si>
    <t>Cocorná - El Ramal (Granada)</t>
  </si>
  <si>
    <t>MAURICIO MONTOYA</t>
  </si>
  <si>
    <t>EN LA VÍA COCORNA-EL RAMAL (GRANADA), EN EL KILOMETRO 1 + 400, EN LA VEREDA SAN JUAN SE PRESENTA PERDIDA DE LA BANCA, SE SOLICITA RECORRIDO DE RECONOCIMIENTO DE LA ZONA</t>
  </si>
  <si>
    <t>Santo Domingo - Termales - Alejandria</t>
  </si>
  <si>
    <t>NUBIA PIEDAD VALLEJO GIRALDO</t>
  </si>
  <si>
    <t>LA SECRETARIA DE GOBIERNO DE ALEJANDRIA ENVIA LA SIGUIENTE SOLICITUD MEDIANTE CORREO ELECTRONICO; INQUIETUDES QUE FUERON EXPRESADAS VERBALMENTE EN LA SOCIALIZACION DE INICIO DEL PASADO 12 DE JULIO.
1- CON REPECTO A LA VÍA QUE NOS COMUNICA CON EL MUNICIPIO DE SANTO DOMINGO Y EL NORDESTE ANTIOQUEÑO:
 CUANDO REANUDARAN LAS OBRAS  SOBRE EL SECTOR DE TERMALES, SI ES POSIBLE SOBRE ESTE SECTOR COLOCAR UNA MAYA PARA CUBRIR LOS TALUDES Y CON ELLO AYUDAR A MEJORAR VISUALMENTE ESTE SECTOR DE GRAN IMPORTANCIA TURISTICA PARA EL MUNICPIO DE ALEJANDRIA.
2- CUANDO SE ESPERA TERMIENE EL PUENTE DE ARDILA SOBRE LA VÍA ALEJANDRÍA CONCEPCIÓN.
3- EL ASFALTO QUE SE ESTA COLOCANDO EN ESTA VÍA SON 5 KILOMETROS, CUANDO SE CONTINUARA CON LA OBRA EN SU TOTALIDAD.
4-EN LA ACTUALIDAD SE ESTA CONSTRUYENDO EN EL MUNICIPIO DE ALEJANDRIA UNA GENERADORA DE ENERGIA, POR RAZONES OBVIAS EL TRANSITO DE VEHICULOS PESADOS PARA LA CONSTRUCCION DE  DICHA OBRA VA A FRACTURAR TANTO LAS VIAS DESTAPADAS COMO  LAS VIAS URBANAS,  A LO ANTERIOR PREGUNTO: ¿Qué ACCIONES  SE DEBEN REALIZAR PARA PREVEER ESTA SITUACION Y QUE DICHA GENERADORA UNA VEZ TERMINADAS LAS OBRAS REPAREN  LOS DAÑOS CAUSADOS POR EL TRANSITO VEHICULAR?.
5-LE PRESENTO UNA  INQUIETUD  POR PARTE DE LOS DUEÑOS DE LA FINCA DE TERMALES, EN LAS OBRAS QUE SE VAN A CONSTRUIR SOBRE ESTA ZONA.
1- LAS OBRAS QUE SE REALIZARAN AFECTAN AL UBICACIÓN DE LA CASA A MANO IZQUIERDA PASANDO EL PUENTE  EN DIRECCION ALEJANDRIA SANTO DOMINGO. A LA FECHA NO TIENEN NINGUNA NOTIFICACION  NI POR LOS INGENIEROS ENCARGADOS DE LA OBRA NI POR EL DAPARD.</t>
  </si>
  <si>
    <t>DAVID TORO</t>
  </si>
  <si>
    <t>LA VIA TIENE HUECOS PARA REPARCHEO, LOS ESTAN DESTAPANDO Y LA ESTAN DEJANDO DESNIVELADA.
ESTAN ARREGLANDO ZONAS PAVIMENTADAS MUY BUENAS QUE NO REQUIEREN EL MEJORAMIENTO.
EL TRABAJO SE ESTA DANDO DE MANERA LENTA, EN LA JORNADA DE SOCIALIZACION SE ESTIPULO COMO PLAZO ULTIMO, AGOSTO 2013.</t>
  </si>
  <si>
    <t>Betulia - Urrao</t>
  </si>
  <si>
    <t>CATALINA MARTINEZ ROMERO</t>
  </si>
  <si>
    <t>EL SEÑOR FERNANDO DELGADO, PRESIDENTE DE LA ASOCOMUNAL DEL MUNICIPIO DE URRAO MANIFIESTA DESCONTENTO POR INCUMPLIMIENTO POR PARTE DE LA GESTION SOCIAL DE LA SIF, LA CUAL DURANTE LA SOCIALIZACION DE INICIO DE OBRA SE COMPROMETIO A GESTIONAR CAPACITACION PARA LAS JAC QUE ESTAN SOBRE LA VIA INTERVENIDA A TRAVES DEL SENA EN TEMAS RELACIONAOS CON SOSTENIBILIDAD Y CUIDADO DE LA VIA.
IGUALMENTE EXPRESA DESCONTENTO PORQUE EL CONTRATISTA PARA LOS TRABAJOS DE MANTENIMIENTO Y ROCERIA NO HA CONTRATADO A PERSONAL DE LA COMUNIDAD, COMENTA QUE YA ESTA AL TANTO DE ESTA SITUACION RAFAEL NANCLARES Y MAURICIO ARIAS.</t>
  </si>
  <si>
    <t>El Cinco - Venecia</t>
  </si>
  <si>
    <t>LEON DARIO ALVAREZ</t>
  </si>
  <si>
    <t>EN LA VIA SE OBSERVAN TRABAJOS DE PARCHEO, EN EL CUAL HAY TRAMOS DE CARPETA DE RODADURA QUE HA SIDO FRESADA MAS REEMPLAZADA. EL FRESADO NO ES DE TODO EL ANCHO DE LA CALZADA, EN ALGUNOS TRAMOS SE PRESENTA SOLO DE LA MITAD DE LA VIA, OBRA QUE PUEDE SER PELIGROSA PARA LOS VEHICULOS QUE LA TRAANSITAN Y OCASIONAR ACCIENTES. 
FALTA TAMBIÉN MEJOR SEÑALIZACION PREVENTIVA E INFORMATIVA.</t>
  </si>
  <si>
    <t>RAFAEL HORACIO CORREA</t>
  </si>
  <si>
    <t>EL SEÑOR JUAN GUILLERMO LÓPEZ BERNAL, EMPLEADO DE LA FIRMA CONTRATISTA CONSORCIO 23, LE ARRENDO UNA VIVIENDA AL SEÑOR RAFAEL HORACIO UNA VIVIENDA EN EL MES DE NOVIEMBRE DE 2013 Y SE ALOJO HASTA EL MES DE FEBRERO DE 2014 Y SOLO LE PAGO UN MES DE ARRIENDO $300.000. ASIMISMO EN EL MES DE FEBRERO DESOCUPO LA VIVIENDA SIN AVISARLE, SIN ENTREGARLE LLAVES Y HASTA EL DÍA DE HOY NO TIENE CONOCIMIENTO DE SU PARADERO. IGUALMENTTE EL SEÑOR JUAN GUILLERMO NO PAGO LOS SERVICIOS DE AGUA Y LUZ DE ESTOS MESES DE ARRIENDO.</t>
  </si>
  <si>
    <t>Camilocé - El Cinco - Fredonia</t>
  </si>
  <si>
    <t>FALTA SEÑALIZACION ANTES Y DESPUES DE LA OBRA. EN LA ABSISA 12 KM CON 400 MTS Y 14KM CON 100MTS, EN LOS CUALES SE ESTAN REALIZANDO CUNETAS Y UN MURO DE CONTENCION, NO SE ENCUENTRA SEÑALIZACION PREVENTIVA QUE PROTEJA LA INTEGRIDAD FISICA DE LOS TRABAJADORES. ES IMPORTANTE INSTALAR EN ESTOS PUNTOS SEÑALIZACION DE TIPO INFORMATIVO Y/O PREVENTIVO DE PROTECCION.</t>
  </si>
  <si>
    <t>Mi Casita (Fredonia) - Venecia</t>
  </si>
  <si>
    <t>CATALINA MARTINEZ</t>
  </si>
  <si>
    <t>LA SECRETARIA DE PLANEACION DEL MUNICPIO DE VENECIA SOLICITA SEA INTERVENIDA LA VIA MI CASITA(FREDONIA) - VENECIA EN SU TOTALIDAD, PUESTO QUE ESTA VIA COMUNICA SEIS VEREDAS Y UN CORREGIMIENTO (LA MINA) TODOS CON UN ALTO NUMERO D EPOBLACION, EN LOS CUALES SE CULTIVAN DIFERENTES PRODUCTOS COMO EL CAFÉ, EL PLATANO, LA YUCA Y ALGUNOS CITRICOS, QUE SON COMERCIALIZADOS EN EL MUNICIPIO Y EN OTRAS ZONAS DEL DEPARTAMENTO, PERO POR EL GRAN DETERIORO DE LA VIA LA MOVILIDAD ES MUY DIFICIL, EL TRANSPORTE PUBLICO ES MUY CARO POR EL ALTO RIESGO EN LA TRANSITABILIDAD, LO QUE DIFICULTA LA COMERCIALIZACION DE LOS PRODUCTOS, GENERANDO ESTO DESEMPLEO Y AUMENTO DE LA POBREZA.</t>
  </si>
  <si>
    <t>NICOLAS ERNESTO MESA SANCHEZ</t>
  </si>
  <si>
    <t>SE ACERCA EL SEÑOR NICOLAS MESA A LA SECRETARIA DE PLANEACION DEL MUNICIPIO DE FREDONIA QUIEN INFORMA QUE EL CONTRATISTA DE LA VIA SECUNDARIA PUENTE IGLESIAS - FREDONIA NO HA REALIZADO EL TRABAJO ACORDADO EN LA FINCA LOS CAMBULOS. EN OFICIO DEL 7-5-2014 EL SEÑOR MAURICIO ARIAS LE MANIFIESTA LA CONSTRUCCION DE CANALES EN SACOS DE SUELO DE CEMENTO CON UNA LONGIUD APROXIMANDA DE 40 Y 70 MTS, PERO A LA FECHA LA OBRA TIENE UNA LONGITUD DE 20MTS, IGUALMENTE FALTA LA MEMBRANA, Y TERMINAR UN FILTRO.</t>
  </si>
  <si>
    <t>DIANA RENDON VLEASQUEZ</t>
  </si>
  <si>
    <t>LA SEÑORA DE LA DIANA INFORMA QUE LE PRESTO SU PREDIO AL CONTRATISTA DE OBRA PARA GUARDAR MATERIAL Y MAQUINAS POR 12 DIAS APROXIMADAMENTE. AL TERMINAR LA OBRA EL CONTRATISTA LE DEJO ESCOMBROS DENTRO DEL PREDIO, ASIMISMO LE DAÑARON UN MURO EXTERIOR Y LA CERCA. DESDE HACE 15 DIAS PUSO LA QUEJA PERO HASTA EL MOMENTO EL CONTRATISTA NO SE HA ACERCADO PARA ARREGLAR LOS DAÑOS OCASIONADOS.
IGUALMENTE LE DAÑARON UNA COLUMNA A LA ENTRADA DE LA FINCA, EL CONTADOR DE AGUA SE DESAPARECIO Y SEGÚN EL INGENIERO ALEJANDRO ELLOS NO PUEDEN RESPONDER POR EL CONTADOR PORQUE ELLOS NO SE DIERON CUENTA DE SU PERDIDA.</t>
  </si>
  <si>
    <t>La Bodega - Tarso - Pueblorrico</t>
  </si>
  <si>
    <t>GABRIEL JAIME GONZALEZ</t>
  </si>
  <si>
    <t>EN LA ZONA DE TRANSITO DE VOLQUETAS SE ENCUENTRA PAVIMENTADA EN ADOQUIN, EL CUAL PRESENTA ALTO GRADO DE DETERIORO CON FALLAS PUNTULAES Y CON DAÑOS DE GRAVEDAD. SE MANIFIESTA ONDULACIONES Y BACHEOS EN LAS VÍAS PRINCIPLAES DEL MUNICIPIO.
ESTA QUEJA FUE PUESTA A LA INTERVENTORIA EN NOVIEMBRE 28 DE 2013, SE REALIZO UNA VISITA POR PARTE DEL INGENIERO CESAR CASARRUBIA, EL CUAL REGISTRO LA VISITA EN UN ACTA. HASTA LA FECHA NO SE HA REALIZADO NINGUN TIPO DE ARREGLO A LAS VIAS AFECTADAS, INCLUSO LA ALCALDIA MUNICIPAL ANTE LA NEGLIGENCIA DEL CONTRATISTA DE OBRA, COMENZO A PAVIMENTAR UNA DE LAS VIAS POR DONDE TRANSITABAN LAS VOLQUETAS.</t>
  </si>
  <si>
    <t>LUZ ELENA GARCIA DE CARVAJAL</t>
  </si>
  <si>
    <t>EL SEÑOR JUAN GUILLERMO LOPEZ, EMPLEADO DE LA OBRA DEL MANTENIMIENTO DE OBRAS COMPLEMENTARIAS EN LA RED VIAL DE LA SUBREGION DEL SUROESTE, LE QUEDO DEBIENDO POR HOSPEDAJE $ 1. 280.000, DESDE EL 12 DE NOVIEMBRE DE 2013, HASTA EL 21 DE MARZO DE 2014. 
EL DIA 28 DE MAYO, A TRAVES DE UN ESCRITO EL SEÑOR RAFAEL NANCLARES, GERENTE DE LA SIF, LE RESPONDIO SU SOLICITUD  DE PAGO, EN EL CUAL LES INFORMA QUE SU CASO SERIA REMITIDO A LA INTERVENTORIA DE LA EMPRESA COLCIVIL PARA QUE ANTENDIERA EL CASO. A LA FECHA, NO HAN OBTENIDO RESPUESTA POR PARTE DE LA INTERVENTORIA.</t>
  </si>
  <si>
    <t>RICARDO ESPINAL</t>
  </si>
  <si>
    <t>EN EL KM 9, SE ENCUENTRA UNA FAMILIA DE BAJO RECURSOS, POR SU CASA TRANSCURRE UN AGUA DE NACIMIENTOS Y DE LAS CUNETAS DE LA VIA, QUE LE INUNDAN EL ENTORNO DE LA CASA, QUE SE FILTRA POR EL PISO. 
LA OBRA FUE OBSERVADA POR ELCONTRATISTA Y SEGÚN ESTOS, ORGANIZARIAN LAS CUNETAS.
A LA FECHA NO SE HA REALIZADO NINGUNA CLASE DE OBRA.</t>
  </si>
  <si>
    <t>HERNAN VELEZ CADAVID</t>
  </si>
  <si>
    <t>EN EL KM 16 + 400MTS, EL MURO QUE SE REALIZO NO SE LE HA HECHO EL LLENO, EL CUAL DAÑO LA ENTRADA DE SU FINCA, IMPIDIENDO LA ENTRADA DE VEHICULOS.
LOS VEHICULOS PESADOS QUE CIRCULAN POR LA VIA LE HAN AFECTADO SU PROPIEDAD, Y POR ELLO EL SEÑOR HERNAN DE CUENTA PROPIA CONSTRUYO UNAS PILAS PARA PROTEGER SU CASA, AL NO TENER ACOMPAÑAMIENTO POR PARTE DEL CONTRATISTA.
LA INTERVENTORIA DE LA OBRA NO LE HA LLEVADO EL ACTA DE VECINDAD PARA EL FIRMAR.</t>
  </si>
  <si>
    <t>Abejorral - El Cairo -  La Elvira (Sta. Bárbara)</t>
  </si>
  <si>
    <t>DORIS VARGAS</t>
  </si>
  <si>
    <t>SE ENCUENTRA JUNTO A LA CASA DE LA SEÑORA DORIS UNA ZANJA SIN TERMINAR REALIZADA POR EL CONTRATISTA DE LOS MEJORAMIENTOS VIALES DEL SUROESTE, HASTA LA FECHA LLEVA OCHO DIAS EN EL MISMO ESTADO, LA ZANJA EN EL ESTADO QUE SE ENCUENTRA PUEDE CAUSAR ACCIDENTES POR EL ALTO FLUJO VEHICULAR DE LA ZONA, Y DAÑAR LA VIA QUE YA ESTA PAVIMENTADA.</t>
  </si>
  <si>
    <t>JULIO CESAR PIEDRAHITA</t>
  </si>
  <si>
    <t>LA EMPRESA CONALVIAS, CONTRATO TRABAJOS DE ROCERIA, LIMPIEZA DE CUNETAS Y OBRAS TRANSVVERSALES CON LA ASOCOMUNAL DEL MUNICIPIO DE FREDONIA DE MANERA VERBAL, EL CUAL SE COMPROMETIO A PAGAR SEGURIDAD SOCIAL DE LOS EMPLEADOS, EQUIPARLOS CON LA INDUMENTARIA DE TRABAJO, LA RESPECTIVA SEÑALIZACION. EN EL TRANSCURSO DE LA EJECUCION DE LOS TRABAJOS SE INCUMPLIERON VARIOS ACUERDOS: LA EMPRESA PAGO SOLO EL 50% DE LA SEGURIDAD SOCIAL DE LOS TRABAJADORES, SE PAGARA SOLO EL 80% DE LO PACTADO POR LIMPIEZA DE CUNETAS.</t>
  </si>
  <si>
    <t>HUGO ALEXANDER BEDOYA</t>
  </si>
  <si>
    <t>LA VIA SANTA BARBARA MONTEBELLO, SE ENCUENTRA EN ESTADO DEFICIENTE, REQUIERE SER MEJORADA FOR EL ALTO FLUJO EN LA TRANSITABILIDAD, LA VIA EN SU RECORRIDO COMUNICA SIETE VEREDAS QUE NECESITAN UNA CONSTANTE COMUNICACIÓN CON LA CABECERA MUNICIPAL</t>
  </si>
  <si>
    <t>Paso por Caldas</t>
  </si>
  <si>
    <t>IVAN DARIO GIL</t>
  </si>
  <si>
    <t>EN LA VIA ANCON LA ESTRELLA HAY UN VOSCULVER QUE ESTA DAÑADO, HAY UNA SOCAVACION POR LAS CRECIENTES CONTINUAS DE AGUA.
HACE TRES MESES EL INGENIERO HERNAN GIRALDO HIZO LA VISITA E INFORMO SOLUCIONARIA LA SITUACIÓN LO ANTES POSIBLE. LO MAS GRAVE ES QUE SI LA OBRA SE DAÑA DEL TODO, EL AGUA ARRASARA CON EL BARRIO ALEDAÑO (300 VIVIENDAS APROXIMADAMENTE)</t>
  </si>
  <si>
    <t>Remolino - Hispania - Puerto Boy - La Bodega - Andes - Jardín - Alto de Ventanas</t>
  </si>
  <si>
    <t>BEATRIZ ELENA CASAS</t>
  </si>
  <si>
    <t>LA VIA NECESITA REDUCTORES DE VELOCIDAD, YA QUE LA VIVIENDA ESTA AL FRENTE DE LA ESCUELA RURAL LA SECA Y LOS CARROS QUE TRANSITAN PASAN A ALTAS VELOIDADES SIN FIJARSE SI HAY PERSONAS CRUZANDO LA VIA, A PESAR DE QUE HAY SEÑALIZACIÓN HORIZONTAL LOS VEHICULOS NO RESPETAN Y NO REDUCEN LA VELOCIDAD</t>
  </si>
  <si>
    <t>Concordia - El Socorro - Betulia</t>
  </si>
  <si>
    <t>PEDRO ANTONIO GUERRA</t>
  </si>
  <si>
    <t>EN LA VIA (ABCISA 3 KM) SE PRESENTA  DAÑO EN UNA OBRA DE DRENAJE, CON RUPTURA DE ATENORES Y CABEZOTES, EN EL SECTOR YARUMAL PARTE ALTA. EL AGUA REPRESADA INVADE TODOS LOS PREDIOS ALEDAÑOS, LO QUE OCASIONA EROSION EN LA TIERRA E IMPIDE LA MOVILIDAD EN EL SECTOR.
SE ANEXA REGISTRO FOTOGRAFICO</t>
  </si>
  <si>
    <t>JHON ARLEY GALLEGO</t>
  </si>
  <si>
    <t>EN LA ABCISA 4 KM, SE PRESENTA DERRUMBE DE BANCA EN LA VIA CONCORDIA SOCORRO, SECTOR YARUMAL, OCURRIDO EL DOMINGO 15 DE JUNIO EN HORAS DE LA MAÑANA.
LAS ESCALERAS NO PUEDEN PASAR, LO QUE PERJUDICA A LOS USUARIOS DE ESTE MEDIO DE TRANSPORTE.
SE ANEXA REGISTRO FOTOGRAFICO</t>
  </si>
  <si>
    <t>JHON FREDY MONTOYA ARIAS</t>
  </si>
  <si>
    <t>DETERIORO DE LA VIA DE LA PLAZA, EN LA CUAL SE PRESENTA GRIETAS Y HUNDIIENTO EN ESPECIAL A UN LADO DE LA IGLESIA, CASO QUE PERJUDICA A TODOS LOS HABITANTES DE LA VEREDA PUESTO QUE ES UNA VIA PRINCIPAL.
ESTE DETERIORO FUE OCASIONADO POR LAS VOLQUETAS DEL CONTRATISTA EN LAS OBRAS DE MANTENIMIENTO DE LA VIA; REEALIZARON INTERVENCIONES PALEATIVA EN LOS DAÑOS.
DURANTE LOS MOMENTOS DE LLUVIA ALGUNAS VIVIENDAS SE VEN AFECTADAS POR EL MAL ESTADO DE LA VIA QUE DESVIA EL AGUA DE LAS CUNETAS ASIA LAS CASAS VECINAS.
SE ANEXA REGISTRO FOTOGRAFICO Y COPIA DEL DOCUMENTO ENTREGADO DE LA COMUNIDAD AL CONTRATISTA.</t>
  </si>
  <si>
    <t>MARIA JANETH MEJIA MONTOYA</t>
  </si>
  <si>
    <t>SE RECIBE PETICION DE LA JEFE DE PLANEACION A CARGO DONDE EXPONE QUE A LA SALIDA DEL MUNICIPIO DE BETULIA HACIA URRAO (ABCISA O+ 300MT), SE ENCUENTRA UNA OBRA DE DRENAJE TAPADA POR MATERIAL DE ARRASTRE, EL AGUA SE DESBORDA Y ESTA SOCAVANDO UN MURO DE CONTENCION QUE PONE EN PELIGRO EL TRANSITO POR LA VIA Y LA ESTABILIDAD DE ALGUNAS CASAS ALREDEDOR.
SE ANEXA REGISTRO FOTOGRAFICO</t>
  </si>
  <si>
    <t>Concordia - Betulia</t>
  </si>
  <si>
    <t>SE RECIBE QUEJA DONDE SE INFORMA QUE EN EL TRAMO RUBICON VIA BETULIA - CONCORDIA (ABCISA 2 + 700 MT) SE PRESENTO DESDE EL MES DE MARZO DAÑO AL SISTEMA DE ACUEDUCTO  (RUPTURA DE MANGUERA 600 METROS) POR PARTE DE LA EMPRESA CONTRATISTA DE LA GOBERNACION DE ANTOQUIA EN LA REPARACION DE LA VIA.
EL NOMBRE DE LA SEÑORA AFECTADA ES MARIA LUCIA DURANGO FLOREZ, QUIEN ADEMAS AGREGA EN LA VISITA QUE HABLO CON EL INGENIERO CONTRATISTA Y EL LE EXPRESO QUE NO ERA DE SU COMPETENCIA, QUE ERA RESPONSABILIDAD DE OTRA EMPRESA CONTRATISTA.
LA SEÑORA ACTUALMENTE RECOGE AGUA DE LA MANGUERA DEL VECINO.
SE ANEXA REGISTRO FOTOGRAFICO DE A VISITA</t>
  </si>
  <si>
    <t>EN EL SECTOR RANCHO LARGO ARRIBA DESPUES DEL MOMUMENTO MARIA AUXILIADORA  (ABCISA 1.7 KM), HAY UNA OBRA QUE NO ENCAUSA TODA EL AGUA QUE BAJA POR EL VERTEDERO, ESTA EROCIONADO UNA FINCA,LOS DATOS DE PROPIETARIO CORRESPONDEN A CARLOS MARIO RESTREPO CC: 71050714, CL: 3117812235
SE ANEXA REGISTRO FOROGRÁFICO</t>
  </si>
  <si>
    <t>SE RECIBE QUEJA SOBRE EL INMINENTE PELIGRO POR QUE LA LADERA PRESENTA UNA FALLA GEOLOGICA, LA CUAL SE ESTA DETERIORANDO Y SE ESTA YENDO LA BANCA DE LA VIA, SE PRESENTA UN INMINENTE PELIGRO Y RIESGO EN LA INTEGRIDAD FISICA DE LAS PERSONAS QUE POR ALLI TRANSITAN. 
POR TAL MOTIVO EL COMANDO DE POLICIA ACORDONO LA ZONA CON EL FIN DE EVITAR Y PREVENIR ACCIDENTES.
NOTA: MANIFIESTA CON PREOCUPACION QUE LA TEMPORADA DE COSECHA SE AVECINA Y AL PASAR LOS VEHICULOS PESADOS PODRIAN OCURRIR HECHOS LAMENTABLES, DE IGUAL FORMA ESTE SECTOR NO TIENE CUNETAS O ZANJAS PARA QUE EL AGUA CORRA CON NORMALIDAD Y NO SIGA AFECTANDO ESTA VIA DE ACCESO.
SE ANEXA REGISTRO FOTOGRAFICO DE LA VISITA E INFORME ESPECIAL DE POLICIA SOBRE LA SITUACION.</t>
  </si>
  <si>
    <t>GLORIA GARRO</t>
  </si>
  <si>
    <t>EN EL SECTOR DE LA VEREDA SAN JOSE EL CONTRATISTA DEL MANTENIMIENTO DE LAS VIAS SECUNDARIAS, UTILIZA UN BOTADERO DE ESCOMBROS DONDE LAS VOLQUETAS LEVANTAN MUCHO POLVO EN VERADO Y EN INVIERNO SE PRODUCE MUCHO PANTANO, AFECTANDO A LAS VIVIENDAS ALEDAÑAS.</t>
  </si>
  <si>
    <t>JUAN ANGEL JARAMILLO</t>
  </si>
  <si>
    <t>IMPORTANTE INTERVENIR LOS NACIMIENTOS DE AGUA QUE NO TIENEN DESCOLES Y LOS DEMAS QUE ESTAN EN MAL ESTADO, LAS CUNETAS NO ESTAN LIMPIAS, EN MUCHOS PUNTOS DE LA VIA LAS TUBERIAS LAS ESTAN DEJANDO TAPADAS, LOS ESCOMBROS DE LOS TRABAJOS LOS DEJAN EN LA MISMA VIA.
EXISTEN PUNTOS CRITICOS DONDE LA LINEA (TRANSPORTE) TIENE ESPACIO REDUCIDO PARA TRANSITAR, LOS PUNTOS SON EL DE LA LIBERTAD Y LA MARIA.
EN VARIO PUNTOS  DE LA VIA EL SOCORRO - BETULIA SE ENCUENTRAN DERRUMBES SIN ATENDER.
SE ANEXA REGITRO FOTOGRAFICO.</t>
  </si>
  <si>
    <t>YUBI ELENA DIAZ HERNANDEZ</t>
  </si>
  <si>
    <t>LA SECRETARIA DE PLANEACION DEL MUNICIPIO COMENTA QUE EL CONTRATISTA QUE EFECTUA TRABAJOS EN LA VIA, DISPONE LOS MATERIALES DE LA CARPETA AZFALTICA EN PREDIOS DE UN PARTICULAR. EL MUNICIPIO SE HA ACERCADOA DIFERENTES ACTORES COMO LA INTERVENTORIA, EL CONTRATISTA Y VISITANTES DE LA GOBERNACION Y NADIE LE DA RESPUESTA. LA SECRETARIA CONSIDERA QUE EL MUNICIPIO PUEDE SER BENEFICIARIO DE DICHO MATERIAL PARA E MEJORAMIENTO DE SUS VÍAS TERCIARIAS, POR QUE DICHO MATERIAL ES BIEN PUBLICO.
ADICIONA QUE LOS DATOS DE DUEÑO DEL PREDIO DE DEPOSITO SON: RIGOBERTO FRANCO, VIVE EN SECTOR CAMPAMENTO- 3206990683.</t>
  </si>
  <si>
    <t>JHOAN CAMILO RESTREPO TOBON</t>
  </si>
  <si>
    <t>EL DIA 14 DE MAYO EN LA VÍA QUE CONDUCE DEL MUNICIPIO DE ANDES, AL MUNICIPIO DE JARDIN EN EL K 31+200 SE PRESENTO ACCIDENTE DE TRANSITO POR RAZONES DE TRABAJO EN LA VÍA. JHOAN EXPRESA QUE NO HABIA SEÑALIZACION, POR TAL RAZON NO ALCANZÓ A FRENAR CON ANTELACION Y SE GOLPIO CONTRA UN CARRO QUE ESTABA HACIENDO EL PARE.
SE AÑADE QUE ES UNA CURVA CERRADA, DONDE NO HABIA PARE, NI SE HABIA INSTALADO SEÑALIZACION PREVIA.
EN LA OFICINA DE CONCILIACION COMENTAN QUE EL CONTRATISTA SE NIEGA A RESPONDER, AL LLAMO DE LA OFICINA. NO EXISTE CROQUIS DEL ACCIDENTE, EL TRANSITO LLEGÓ Y YA HABIAN RECOGIDO LOS VEHICULOS DEL LUGAR.
SE TIENE EL AVALUO DE AMBOS VEHICULOS: MOTO -$ 420.000 Y CARRO $260.000, JHOAN ADMITE QUE HABIAN CONOS DE SEÑALIZACION, PERO DE FORMA INMEDIATA A LA OBRA.
ELL INGENIERO HERNAN DARIO RESTREPO ES EL REPONSABLE DEL FRENTE DE OBRA, EL HA DICHO QUE TIENE FOTOS DONDE SE EVIDENCIA LA SEÑALIAZACION, PERO HASTA EL MOMENTO NO LA HA ENTREGADO A LA OFICINA DE CONCILIACION.
QUIENES PARTICIPARON DEL ENCRUENTRO FUERON: BEATRIZ ELENA ACEVEDO (AGENTE DE TRANSITO DE ANDES), JUAN CAMILO ESCOBAR (PROPIETARIO DEL VEHÍCULO) Y IDALÍ ORTIZ RAMIREZ (CONCILIADORA DEL MUNICIPIO DE ANDES).</t>
  </si>
  <si>
    <t>ELKIN JARAMILLO JARAMILLO</t>
  </si>
  <si>
    <t>EN EL SECTOR ORIZABA DE LA VÍA SECUNDARIA QUE CONDUCE DEL MUNICIPIO DE ANDES, AL MUNICIPIO DE PUEBLORRICO, HACE UN AÑO Y MEDIO APROX, OCURRIO UN ACCIDENTE DONDE UN JOVEN DE 25 AÑOS POR FALTA DE SEÑALIZACION Y SEGURIDAD EN LA VÍA CAYO A UN COSTADO Y PERDIO LA MOVILIDAD DE SU SCUERPO, QUEDANDO CUADRAPLEJICO. ADEMAS EXISTE REPORTE DE OTROS CASOS SIMILARES.
EL ABOGADO DE LA VICTIMA DIRECCIONO UN DERECHO DE PETICION A LA ALCALDIA Y ESTA REPORTANDOLO, SE TIENEN DATOS QUE POR SER VÍA SECUNDARIA EL LUGAR DEL ACCIDENTE, EL ABOGADO DE LA VICTIMA REDIRECCIONARA LA DEMANDA A LA GOBERNACION DE ANTIOQUIA.</t>
  </si>
  <si>
    <t>ALVARO ANIBAL CARVAJAL O.</t>
  </si>
  <si>
    <t>PETICION: EL ALCALDE SOLICITA INTERVENCION EN EL SECTOR SAN BARTOLO Y ENTRADA A LA CACIANA, COMENTA QUE REQUIERE MATERIAL SOBRANTE DEL PARCHEO, QUE ACTUALMENTE SE HACE EN LA VÍA.</t>
  </si>
  <si>
    <t>CLAUDIA PATRICIA GUIRALES</t>
  </si>
  <si>
    <t>LA SECRETARIA DE PLANEACION DEL MUNICIPIO EXPRESA QUE LA VÍAS VERDÚN Y  SEXTA(URBANA), SE PRESENTA DETERIORO POR EL TRAFICO  PESADO DE VOLQUETAS QUE TRANSITAN CON MATERIAL DE CANTERA. COMENTA QUE INICIALMENTE SE ESTABLECIO ACUERDO DE CONTRAPRESTACION DE SERVICIOS CON LA ADMINISTRACON, DONDE ESTA ENTREGARIA EL MATERIAL DE CANTERA Y EL CONTRATISTA PRESTARIA LA MAQUINA COMPACTADORA Y ARREGLARIA LOS DAÑOS EN LA VÍA. 
A LA FECHA NO SE HA  CUMPLIDO EL ACUERDO POR PARTE DEL CONTRATISTA. SE CALCULA QUE HAN EXTRAÍDO 15.000 M3 DE MATERIAL.</t>
  </si>
  <si>
    <t>SE SOLICITA INFORMACION SOBRE LA INTERVENCION QUE SE HA VENIDO EJECUTANDO Y LA QUE ESTA PLANEADA EJECUTAR, ESPECIALMENTE SOBRE: TRAMO EL CEIBO Y LA ESCUELA MONSERRATE. ESTE TIENE UN SECTOR EN MALAS CONDICIONES (FINCA PORTUGAL). LA COMUNIDAD EL DÍA ANTERIOR A ESTA SOLICITUD, TAPO CON TIERRA LOS HUECOS.</t>
  </si>
  <si>
    <t>OSCAR OLIMPO AGUDELO</t>
  </si>
  <si>
    <t>EL DOCENTE OSCAR AGUDELO, QUIEN LABORA Y RESIDE EN EL CORREGIEMTO LA CAMARA DEL MUNICIPO DE SALGAR, COMENTA QUE HACE FALTA SEÑALIZACION HORIZONTAL, RESALTOS EN LA ZONA ESCOLAR; ADEMAS CON EL PASO DE LAS VOLQUETAS SE DETERIORA LA VÍA, HAY HUNDIMIENTOS CERCA A LA INSTITUCION EDUCATIVA, LAS CALLES EN GENERAL SE AFECTARON POR PASO DE VOLQUETAS.</t>
  </si>
  <si>
    <t>Ye a La Bodega (Andes) - Buenos Aires - Puente Lata - Jericó</t>
  </si>
  <si>
    <t>ROGELIO DE JESUS GOMEZ</t>
  </si>
  <si>
    <t>EL SEÑOR ROGELIO GOMEZ, PRODUCTOR Y PRESIDENTE DE LA VEREDA BUENOS AIRES, COMENTA QUE EN LA VÍA YE LA BODEGA A 1 KM APROXIMADAMENTE, LE HACE FALTA DISIPADOR, LO CUAL EN LA ACTULALIDAD ESTA ENTORPECIENDO EL TRANSITO DE LOS VEHICULOS, OCASIONANDO ACCIDENTES.
EN LA SOCIALIZACION DE INICIO SE COMUNICO SOBRE ESTA INTERVENCION Y A LA FECHA NO SE HA REALIZADO.</t>
  </si>
  <si>
    <t>MARIA DOLLY NIAZA PANCHÍ</t>
  </si>
  <si>
    <t>LA RECTORA DE LA INSTITUCION EDUCATIVA KARMATARUA, SECTOR CRISTIANIA, SOLICITA INTERVEIR LA VIA CON SEÑALIZACION ESCOLAR Y DE REDUCCION DE VELOCIDAD, ALLI SE ESTAN PRESENTANDO ACCIDENTES DE TRANSITO POR ALTA VELOCIDAD EN LA CURVA, DEJANDO NIÑOS Y HABITANTES HERIDOS. ASI MISMO PIDE ESTUDIAR OTROS PUNTOS (SECTORES) DE LA VIA QUE CONDUCE DE ANDES A JARDIN, DONDE SE PRESENTA LA MISMA DIFICULTADAD EN ZONA ESCOLAR.
LOS DOS SECTORES MAS SON: MONSERRATE Y SAN BARTOLO.</t>
  </si>
  <si>
    <t>LILIANA ANDREA MARIN H</t>
  </si>
  <si>
    <t>LA SECRETARIA DE PLANEACION ESTA REQUIRIENDO AL CONTRATISTA PARA LA CANCELACION DE INDUSTRIA Y COMERCIO EQUIVALENTE AL 1% DEL TOTAL DEL CONTRATO PARA EL MUNICIPIO DE HISPANIA.</t>
  </si>
  <si>
    <t>EN EL SECTOR LA SECA ENTRE EL MUNICIPIO DE HISPANIA Y EL SECTOR PUERTO BOY SE ENCUENTRA LA ESCUELA A ORILLA DE LA VÍA. SE REQUIERE SEÑALIZACION DE ZONA ESCOLAR Y UBICACIÓN DE RESALTOS O REDUCTORES DE VELOCIDAD.
SE HA ENTREGADO OFICIO A LA SIF Y AUN NO SE TIENE RESPUESTA AL RESPECTO</t>
  </si>
  <si>
    <t>SOLICITUD DE REVISION E INTERVENCION DEL PUENTE DE ENTRADA DEL MUNICIPIO DE SAN PEDRO DE URABÁ, QUE COMUNICA CON LA VÍA SAN PEDRO DE URABÁ CON EL CORREGIMIENTO EL TRES; DEBIDO AL MAL ESTADO ACTUAL DEL PUENTE Y CON SU IMPORTANCIA EN LA ENTREGA DE MATERIALES PARA EL MANTENIMIENTO DE LA VIA.  EL TIPO DE HECHO TAMBIEN FUE REGISTRADO COMO DE MOVILIDAD.</t>
  </si>
  <si>
    <t>El DAPARD</t>
  </si>
  <si>
    <t>WILSON MANUEL YERENA</t>
  </si>
  <si>
    <t>LA COMUNIDAD SE ENCUENTRA MUY INCONFORME PORQUE DEJARON OBRAS SIN TERMINAR, LO CUAL ESTA CAUSANDO ACCIDENTES EN LA VIA.  LA VIA SE ENCUENTRA INCOMUNICADA POR UN BOX COULVERT SIN LLENO.  SE HA LLAMADO AL INTERVENTOR Y NO SE HA PRESENTADO EL INGENIERO DE: OBRAS CON INGENIO, NI EL CONTRATISTA ROBERTO GUZMÁN.  SOLICITAN APOYO EN HACER RESPONDER AL CONTRATISTA.</t>
  </si>
  <si>
    <t>Otra</t>
  </si>
  <si>
    <t>CONTRATISTA: OBRAS CON INGENIO</t>
  </si>
  <si>
    <t>Campo Alegre (Ruta 25 - Caucasia) - Colorado - Nechí.</t>
  </si>
  <si>
    <t>SILFREDO BRAVO</t>
  </si>
  <si>
    <t>EL PRESIDENTE DE LA JAC SILFREDO BRAVO MANIFIESTA, QUE EL CONSOCIO NECHI CONSTRUCTOR DE LOS DIQUES EN LA ZONA INCUMPLIO CON LOS ACUERDOS ADQUIRIDOS CON LA COMUNIDAD DEL CORREGIMIENTO DE COLORADO, ESTO COMO OBRA SOCIAL EN EL MEJORAMIENTO DE LA VIA.
EL VIERNES 25 DE JULIO ME COMUNIQUE VIA WHATSAPP CON LA FUNCIONARIA ISABEL CASTRO DEL DAPARD PARA PREGUNTARLE ACERCA DEL SEGUIMIENTO A LA PQR Y NO SE OBTUVO RESPUESTA, SE INTENTA POR LLAMADA TELEFONICA EL LUNES 28 DE JULIO Y NUNCA FUE CONTESTADA.
EL LUNES 28 DE JULIO EN REUNIÓN CON LA DIRECCIÓN DE LA GESTION SOCIAL GOBERNACION DE ANTIOQUIA, LA SUPERVISORA MARGARITA GIL CUENTA EN LA REUNION QUE YA ATENDIO LA PQR Y SOLUCIONARON EL INCONVENIENTE EN LA VIA DE INGRESO AL CORREGIMIENTO Y LA VIA INTERNA A ESTE.
ANEXO: ACTA MESA CONCILIACIÓN ENTREGADA POR LA JAC 01/05/2014</t>
  </si>
  <si>
    <t>CESAR GARCIA</t>
  </si>
  <si>
    <t>EL SEÑOR CESAR GARCIA  ES PROPIETARIO DE UN BUS DE  LA FLOTA GRANADA  Y MESES ATRÁS  CUANDO SE ESTABA INTERVINIENDO LA VIA,  UN CONDUCTOR DE  SU BUS ATROPELLO A  UN OBRERO DE LA OBRA EN EJECUCION, PERO SEGÚN REFIERE DON CESAR  ESTE NO ESTABA AFILIADO A SEGURIDAD SOCIAL POR PARTE DEL CONTRATISTA Y EN LA ACTUALIDAD     ESTA ENFRENTANDO PROBLEMAS LEGALES  DEBIDO AL HECHO COMO PROPIETARIO DE BUS.</t>
  </si>
  <si>
    <t>HERNANDO GARCIA ROJAS</t>
  </si>
  <si>
    <t>EN LA VIA CONCEPCION- SAN VICENTE ( SECTOR EL COLMILLO)  DE LA VEREDA EL PORVENIR  DEL MUNICIPIO DE SAN VICENTE, LAS OBRAS REALIZADAS POR EL CONTRATISTA PAVCOL  ESTA GENERANDO LO SIGUIENTE: SEGÚN REFIERE LA COMUNIDAD  SE ESTA PRESENTANDO AFECTACION A LA SALUD DE LOS HABITANTES Y A LOS CULTIVOS QUE SE ENCUENTRAN EN LA VIA, PUESTO  SEGÚN LO EXPUESTO " LA OBRA NO SE ESTA REALIZANDO CON LOS MATERIALES  NECESARIOS  Y SE ESTA LEVANTANDO EL POLVO DEL CEMENTO. POR OTRO LADO  LA VIBROCOMPACTADORA  HA AFECTADO LA ESTRUCTURA DE VARIAS VIVIENDAS  Y HASTA LA FECHA NO SE HA DADO RESPUESTA  A LA COMUNIDAD.</t>
  </si>
  <si>
    <t>La Miserenga (Cruce Ruta 62) - Ebéjico - Sevilla - Heliconia - Alto del Chuscal</t>
  </si>
  <si>
    <t>Jorge Hugo Elejalde López</t>
  </si>
  <si>
    <t>Problema con un propietario, km 25+200. Hay una demanda de la secretaria general para que entrege un predio.
No deja hechar el afirmado en la variante, que es una faja de tierra de su propiedad.
El predio tiene un valor de $ 30.000.000 y el propietario pide $ 400.000.000. por lo que se tendrá que expropiar</t>
  </si>
  <si>
    <t>Secretaria General</t>
  </si>
  <si>
    <t>John Jairo Murillo</t>
  </si>
  <si>
    <t>Servicios públicos</t>
  </si>
  <si>
    <t>el concejal Jhon Jairo murillo pone sobre la mesa el tema de acueducto para la zona rural y la necesidad de apertura de vía que comunique al municipio de caicedo con la vereda la milagrosa</t>
  </si>
  <si>
    <t>Jhon Montoya</t>
  </si>
  <si>
    <t>Se esta realizando la apertura de una vía al cauca que sale a Bolombolo, llevan 7 km y faltan otros 7 km. todos los propietarios dan permiso, ya que Bolombolo se esta convirtiendo en un centro de acopio y distribución y se necesita sacar la producción</t>
  </si>
  <si>
    <t>Porfirio Vargas Molina</t>
  </si>
  <si>
    <t>En la vía terciaria entre los Corregimiento de San Gregorio o Alfonso lópez hay un derrumbe que es por falla geologica. Proponen abrir una variante como alternativa.</t>
  </si>
  <si>
    <t>Frontino - La Herradura - La Balsa</t>
  </si>
  <si>
    <t>Leonel González Cortés</t>
  </si>
  <si>
    <t>SocializaciónFrontino
- Revisar quebrada que esta dañando la vía frontino-Paso ancho-El Botón, en el alto</t>
  </si>
  <si>
    <t>Santo Domingo Savio - Piedras Blancas - Autopista (Guarne)</t>
  </si>
  <si>
    <t>Julio Sampredo</t>
  </si>
  <si>
    <t>La comunidad de finqueros del tramo de la vía Santo Domingo Savio Guarne llaman a avisar que harán un bloqueo de vía para impedir el paso de volquetas de una cantera de material que por el tráfico frecuente ha dañado la vía. La SIF se compromete a hacer visita técnica y la comunidad desiste del bloqueo de la vía.</t>
  </si>
  <si>
    <t>Lisandro Correa</t>
  </si>
  <si>
    <t>La comunidad de la Vereda Granizal de Bello, que colinda con la vía Santo Domingo Savio Guarne, solicita la intervención de la SIF para adecuar la vía de entrada al asentamiento El Pinar. Allí viven 18.500 personas en calidad de invasión, en un 80% de población desplazada, sin servicios básicos y sin servicios públicos.</t>
  </si>
  <si>
    <t>Cesar Hidarraga</t>
  </si>
  <si>
    <t>El ingeniero residente de la interventoría para la recuperación de la vía es abordado en varias ocasiones por personas que le piden dinero para poder continuar las obras. En la última conversación lo amenazan con secuestrarlo hasta que la empresa pague la extorsión.</t>
  </si>
  <si>
    <t>Secretaria de Gobierno</t>
  </si>
  <si>
    <t>Primaria</t>
  </si>
  <si>
    <t>Víctor Oswaldo Hincapié</t>
  </si>
  <si>
    <t>Se recibe llamada a las 7:00 am en la que el contratista de señalización informa que el grupo de ingenieros y trabajadores que venían de Urabá, a la altura de Dabeiba, han sido interceptados por un grupo armado de paramilitares que los acusan de ser responsables de un accidente del vehículo en el que se transportaba el comandante paramilitar de la zona. Por ese motivo el grupo armado retiene los vehículos y al grupo de ingenieros y trabajadores hasta que no se les dé un dinero para compensar los daños del accidente del cual responsabilizan al vehículo del contratista de señalización.</t>
  </si>
  <si>
    <t>Jorge Hernán Ramírez</t>
  </si>
  <si>
    <t>El Alcalde de Santa Bárbara pone en conocimiento de la Dirección de Gestión Social que la comunidad de la Vereda La Elvira, de la vía entre Abejorral y La Elvira, en el tramo entre El Cairo y La Elvira, está sufriendo por la contaminación por el polvo que levantan las volquetas que vienen con cemento desde la planta de Argos de El Cairo y que por ese motivo han colocado unos resaltos para disminuir la velocidad de los camiones cuando pasan frente a las viviendas, para tratar de disminuir el polvo. Sinembargo el polvo no disminuye y en cambio se comienzan a presentar fricciones entre los conductores de las volquetas y los habitantes que están sobre la vía.</t>
  </si>
  <si>
    <t>La Ese - Angostura - Las Partidas de la Holanda</t>
  </si>
  <si>
    <t>José Miguel Vásquez</t>
  </si>
  <si>
    <t>El Alcalde de Angostura se queja de que el contratista del Norte está contratando la rocería con una persona que es opositora de su Administración, por influencia de un Diputado que es su rival político. Se queja de que no está teniendo en cuenta a la Alcaldía de Angostura para contratar la mano de obra no calificada.</t>
  </si>
  <si>
    <t>Carlos Alberto Estrada</t>
  </si>
  <si>
    <t>Un grupo de finqueros del Magdalena Medio se quejan ante el Gobernador del estado de las vías Remedios La Ye y La Ye Bodegas Flores. Se hizo una reunión a la que asistieron los ingenieros supervisores pero no fueron satisfactorias las explicaciones. Solicitan atención a estas vías.</t>
  </si>
  <si>
    <t>Andrés Mauricio Rodríguez</t>
  </si>
  <si>
    <t>Con la caida del Puente sobre el Río San Bartolo entre Cocorná y Granada, se afectó la transitabilidad entre estos municipios en ese punto. Los principales afectados fueron los niños que asisten a la Institución Educativa al otro lado del Río y debían asumir riesgos para atravezar el Río y llegar a clase. Para mitigar esta situación y mientras se construye el puente definitivo, se construyó un puente provisional en madera para que preste el servicio durante los 4 meses que dura la construcción del puente definitivo. Sin embargo el puente está siendo utilizado para el paso de motos y de bestias que han causado daños graves en la estructura y pone en riesgo la vida útil proyectada del puente, lo que pondría nuevamente a los niños en las situaciones de riesgo al pasar el Río para ir a la Institucion Educativa, antes de que se entregue el puente definitivo.</t>
  </si>
  <si>
    <t>Michel Hermelin</t>
  </si>
  <si>
    <t>Los señores José Maria Bravo (Ing. Civíl) y Michel Hermelin (Ing. Geólogo), habitantes del muncipio de Guarne, entregaron a los funcionarios de la SIF en  la socialización de obra del BID Etapa 1, un informe fortográfico muy detallado sobre el estado de la vía Santo Domingo Savio - Guarne, desde el sector Piedras Blancas hasta Guarne, el informe tiene fecha del 5 de Enero del 2010. En este sector la comunidad de finqueros solicitó una visita a la vía en compañia del contratista y del interventor.  Además por problemas del acueducto y de invazión al retiro de la vía por parte de algunos propietarios, la comunidad solicitó un encuentro conjunto con el Alcalde de Guarne para tratar dichos temas.</t>
  </si>
  <si>
    <t>Catalina Macías Garcés</t>
  </si>
  <si>
    <t>La empresa ISAGEN radicó una queja ante CORNARE en la regional AGUAS a causa de la disposición indebida de materiales sobrantes sobre predios de propiedad de la empresa por parte del contratista que ejecutó el proyecto BID Etapa 1 en la subregión Oriente. Esta actividad se realizó sin la autorización de la empresa con posibilidad de afectación de los recursos naturales y el arrastre de sedimentos hacia el Embalse Punchiná.</t>
  </si>
  <si>
    <t>San Pedro de Urabá - Pueblito</t>
  </si>
  <si>
    <t>Eliecer Ramos</t>
  </si>
  <si>
    <t>La Comunidad del Corregimiento de San José de Mulatos, Municipio de Turbo, en cabeza del presidente de la Junta de Acción Comunal del corregimiento, solicita urgentemente la atención al puente sobre el río Mulatos, ubicado en la vía secundaria: El Bobal - Pueblo Nuevo - San Pedro de Urabá; dado que el río se ha llevado la banca y ha dejado inhabilitado el paso.
Antecedentes:
El 15 de diciembre del 2010 se presenta una creciente del Río Mulatos.
El 2 de diciembre de 2011 se decreta el cierre de la vía por la pérdida de banca del terraplén de acceso al puente (Decreto No.03311).
En el año 2012 el DAPARD solicita recursos a la nación, por el fondo de adaptación, para atender dicha emergencia.
Otros: 
Algunas personas han realizado con maderos la conexión de la vía con el puente y en algún momento se tiene el antecedente de que se cobró, a modo de peaje, el paso por dicho puente.
Líderes de la comunidad manifiestan el encarecimiento de los alimentos cuando no hay paso por el puente.
Líderes manifiestan que no han sido atendidos desde hace mas de tres años.
Se han escuchado rumores del bloqueo de la vía por la falta de atención a la vía en este punto.</t>
  </si>
  <si>
    <t>TRÁMITE APLICATIVO</t>
  </si>
  <si>
    <t xml:space="preserve">18 septiembre 2014 : SE REALIZÓ SEGUIMIENTO A LA PQRS Y SE ENCUENTRA UN (1) RESALTO COSTRUIDO DE LOS CINCO (5) RESALTOS QUE SOLICITO LA CONCEJALA MARIBEL TORRES.
11 junio 2014 : SE REALIZO VISITA EL CORREGIMIENTO CORDOBA DEL MUNICIPIO DE SOPETRAN PARA CONSTATAR EN TERRENO LA SOLICITUD DE LA SEÑORA MARIBEL, SE VERIFICO QUE SE HACE NECESARIO LA INSTALACION DE LOS REDUCTORES DE VELOCIDAD DADO QUE EL PELIGRO DE ACCIDENTALIDAD ES INMINENTE, SE RALIZO REGISTRO FOTOGRAFICO 
Avance : SE REALIZO REUNION CON EL INGENIERO LEDESMA SUPERVISOR DE CONTRATISTA Y MANIFIESTA QUE YA ESTA EN TRAMITE LA SOLICITUD DE LOS REDUCTORES
26 agosto 2014 : SE REALIZA VISITA CON LA ING. RESIDENTE AYDALUZ MERA, EL MAESTRO DE OBRA Y LA INTERVENTORA JAHIRA GOMEZ, PARA FIJAR PUNTOS DE INSTALACION DE LOS REDUCTORES DE VELOCIDAD,QUEDAPENDIENTE DE ENTREGA DE CARTA DE AUTORIZACION DE CONTRUCCION DE LOS REDUCORES /POR PARTE DE LA ALCALDIA DE SOPETRAN) QUE LA PROPORCIONARA LA CONCEJALA MARIBEL TORRES.
14 agosto 2014 : SE REALIZA LLAMADA TELEFONICA A LA INTERVENTORA JAHIRA GOMEZ, PARA INDAGAR A CERCCA DE LA PQRS, A LO CAUL MANIFIESTA QUE SE REALICE LLAMADA AL INGENIEERO JUAN GUILLERMO LOPEZ, SE REALIZAQ DICHA LLAMADA Y EL INGENIERO MANIFIESTA QUE LOS RESALTOS YA ESTAN SIENDO EJECUTADOS, EMPEZANDO POR EL SECTOR DE CUATRO ESQUINAS Y PARA EL DÍA MIERCOLES 20 DE AGOSTO SE INICIA LA CONSTRUCCION DE LOS RESALTOS DE CORDOBA, ADEMAS SE INSTALARA LAS SEÑALIZACIONES CORRESPONDIENTES.
22 julio 2014 : SE REALIZA VISITA CON LOS INGENIEROS DEL CONTRATISTA LOS CUALES TIENEN LA ORDEN DE EJECUTAR LA CONSTRUCCUON DE LOS RESALTOS
18 julio 2014 : SE REALIZO VISITA AL CORREGIMIENTO DE CORDOBA CON LA INTERVENTORA JAHIRA GOMEZ PARA ATENDER LA SOLICITU DE LA INDTAURACION DE REDUCTORES DE VELOCIDAD, LA INTERVENTORA REALIZA TOMA DE FOTOS EN LOS TRES PUNTOS SOLICITADOS PARA SER LLAVADAS AL INGENIERO CONTATISTA, SE COMPROMETE A REALIZAR CON ESTE EL DIA LUNES 21 DE JULIO 
Avance : COMPROMISO DE LA INTERVENTORA JAHIRA GOMEZ A VISITAR EL TERRENO CON EL INGENIERO CONTRATISTA
31 octubre 2014 : SE REALIZA VISITA A LA SEÑORA MARIBEL PARA ENTREGA A SATISFACCION DE LOS 5 REDUCTORES DE VELOCIDAD SOLICITADOS MAS SU RESPECTIVA SEÑALIZACION, LA VISITA SE REALIZA CON LOS INTERVENTORES JAHIRA GOMEZ Y LUIS FERNANDO LOPEZ
</t>
  </si>
  <si>
    <t xml:space="preserve">26 agosto 2014 : SE REALIZA VISITA CON ING. RESIDENTE AYDALUZ MERA, EL MAESTRO DE OBRA Y LA INTERVENTORA JAHIRA GOMEZ, PARA MOSTRAR SITIO DE LA PQRS Y QUE EL MAESTRO PUEDA PROCEDER AL ARREGLO DEL MURO DE CONTENCIÓN DEL SISTEMA DE REGADIO
18 septiembre 2014 : SE REALIZA SEGUIMIENTO A LA PQRS Y YA ESTA LISTO EL ARREGLO AL MURO DE CONTENCIÓN DE LAS AGUAS DE REAGDÍO QUE LA SEÑORA DORA SOLICITÓ.
</t>
  </si>
  <si>
    <t xml:space="preserve">16 julio 2014 : SE LE HACE ENTREGA DEL INFORME DE LA VEEDURIA DE SAN CARLOS AL SUPERVISOR ANDRES RODRIGUEZ
19 agosto 2014 : ENVIO CUADRO PARA SEGUIMIENTO DE PQRS A LA INGENIERA AMBIENTAL ELIZABETH TRUJILLO DE LA SIF
19 enero 2015 : LA PQRS QUEDA A CARGO DE LA GESTORA SOCIAL HARLEN CORDOBA QUIEN ES LA GESTORA SOCIAL ENCARGADA DEL MUNICIPIO DE SAN CARLOS 
Avance : SE CIERRA LA PQRS, QUEDA A CARGO DE HARLEN CORDOBA
01 septiembre 2014 : SE PROGRAMA VISITA DEL GEOLOGO DE LA SECRETARIA PARA LA SEMANA DEL 8 AL 12 DE SEPTIEMBRE
25 agosto 2014 : SE RECIBE RESPUESTA VIA CORREO ELECTRONICO DE LA INGENIERA AMBIENTAL DE LA SIF 
Avance : SE PROGRAMARA VISITA CON EL GEOLOGO DE LA DIRECCION DE DESARROLLO FISICO DE LA GOBERNACION DE ANTIOQUIA
</t>
  </si>
  <si>
    <t xml:space="preserve">22 julio 2014 : RECORRIDO DE CONTROL SOCIAL 
Avance : SE HACE RECORRIDO KILOMETRO A KILOMETRO DE LA VIA Y SE HIZO UN DIAGNOSTICO POR PARTE DEL INGENIERO CIVIL DE LA CORPORACION. SE HACE LA OBSERVACION QUE LA INTERVENCION QUE SE REALIZO EN LA VIA FUE DEMANTENIMIENTO MANUEL, LIMPIEZA
19 agosto 2014 : ENVIO CUADRO PARA SEGUIMIENTO DE PQRS A LA INGENIERA AMBIENTAL ELIZABETH TRUJILLO DE LA SIF
16 julio 2014 : INFORME VERBAL AL SUPERVISOR DE LA ZONA 
Avance : SE PONE EN CONOCIMIENTO DEL SUPERVISOR DE LA ZONA LA SOLICITUD DE LA COMUNIDAD
25 agosto 2014 : SE RECIBE RESPUESTA VIA CORREO ELECTRONICO DE LA INGENIERA AMBIENTAL DE LA SIF 
Avance : SE ATENDERA EN EL 2015 CON EL PROYECTO DE MANTENIMIENTO, YA QUE ESTE AÑO SE ATENDIO CON MANTENIMIENTO RUTINARIO Y ROCERIA
04 agosto 2014 : ENVIO DE CORREO 
Avance : SE LE ENVÍA AL SUPERVISOR DE LA ZONA ORIENTE LAS OBSERVACIONES IDENTIFICADAS EN EL RECORRIDO DE CONTROL SOCIAL POR EL GESTOR TECNICO.
</t>
  </si>
  <si>
    <t>19 agosto 2014 : ENVIO CUADRO PARA SEGUIMIENTO DE PQRS A LA INGENIERA AMBIENTAL ELIZABETH TRUJILLO DE LA SIF
20 noviembre 2014 : MEDIANTE VISITA DE RECORRIDO DE CONTROL SOCIAL SE VERIFICA QUE YA SE INICIARON LOS TRABAJOS EN EL PUNTO CRITICO 
Avance : YA SE EMPEZARON A CONSTRUIR LOS GAVIONES, LOS TRABAJOS EMPEZARON DESDE EL PASADO 17 DE NOVIEMBRE
25 agosto 2014 : SE RECIBE RESPUESTA VIA CORREO ELECTRONICO DE LA INGENIERA AMBIENTAL DE LA SIF 
Avance : EL CONTRATISTA PAVCOL S.A.S. DEL MANTENIMIENTO ATENDERA ESTA SOLICITUD
00 enero 1900 : 
17 diciembre 2014 : MEDIANTE RECORRIDO DE CONTROL SOCIAL SE ESTABLECE QUE LAS OBRAS FUERON PARALIZADAS, POR FALTA DE PAGO A LOS TRABAJADORES 
Avance : MEDIANTE LLAMADA TELEFONICA A LA INTERVENTORIA Y SU DILIGENTE RESPUESTA, SE LOGRA SOLUCIONAR EL PAGO DE LOS TRABAJADORES Y CONTINUAR LA OBRA
01 septiembre 2014 : SE LE DA LA ORDEN VIA TELEFONICA AL CONTRATISTA DE EMPEZAR A INTERVENIR LA VIA
31 julio 2014 : RECORRIDO DE CONTROL SOCIAL 
Avance : SE HACE RECORRIDO KILOMETRO A KILOMETRO DE LA VIA EN COMPAÑÍA DEL SECRETARIO Y AUXILIAR DE PLANEACION, QUIENES ENTREGARAN UN INFORME TECNICO DE LO OBSERVADO EN EL RECORRIDO.
16 julio 2014 : INFORME VERBAL AL SUPERVISOR DE LA ZONA 
Avance : SE PRESENTO INFORMEVERBAL AL SUPERVISOR PARA PRIORIZAR LA SITUACION</t>
  </si>
  <si>
    <t xml:space="preserve">19 agosto 2014 : ENVIO CUADRO PARA SEGUIMIENTO DE PQRS A LA INGENIERA AMBIENTAL ELIZABETH TRUJILLO DE LA SIF
16 julio 2014 : INFORME VERBAL AL SUPERVISOR DE LA ZONA 
Avance : SE PONE EN CONOCIMIENTO DEL SUPERVISOR DE LA ZONA LA SOLICITUD DE LA SECRETARIA DE GOBIERNO DEL MUNICIPIO DE ALEJANDRIA
04 agosto 2014 : REENVIO DE CORREO ELECTRONICO DE LA SECRETARIA DE GOBIERNO DE ALEJANDRIA 
Avance : SE LE REENVIA EL CORREO ENVIADO POR LA SECRETARIA DE GOBIERNO DE ALEJANDRIA AL SUPERVISOR DE LA ZONA
26 agosto 2014 : SE RECIBE RESPUESTA VIA CORREO ELECTRONICO DE LA INGENIERA AMBIENTAL DE LA SIF 
Avance : 1, SE ESTÁN BUSCANDO LOS RECURSOS PARA ATENDER EN EL 2015 CON EL CONTRATO DE PUNTOS CRÍTICOS EL SITIO UBICADO EN EL K12+500, YA QUE REQUIERE UNA ALTA INVERSIÓN QUE SUPERA LO ESTIPULADO EN EL CONTRATO DE MANTENIMIENTO.
2, SE ESTÁ CONSTRUYENDO.
3, LOS 5 KM SE TERMINARÁN A MÁS TARDAR EN DICIEMBRE DE 2014 Y EL RESTO DE LA VÍA SE ATENDERÁ CON OTRO CONTRATO DE ESTABILIZACIONES A CARGO DEL INGENIERO ALEJANDRO GÓMEZ.
4, SE OTORGÓ EL PERMISO A LA GENERADORA POR PARTE DE LA GOBERNACIÓN DE ANTIOQUIA Y EN CASO DE ALGÚN PERJUICIO SE RECLAMARÁ POR PARTE DE CADA ENTIDAD COMPETENTE.
5, CON LA OBRA PROYECTADA NO SE AFECTARÁ ESTA VIVIENDA, ACTUALMENTE SE ESTÁN GESTIONANDO LOS RECURSOS PARA EJECUTAR MÁS OBRA.
</t>
  </si>
  <si>
    <t xml:space="preserve">21 julio 2014 : SE INFORMO AL SUPERVISOR DE LOS PROYECTOS DEL BID, EL SEÑOR JULIO SANCHEZ, Y SEGÚN ESTE YA EL FRESADO Y PARCHEO EN LA ZONA SE TERMINO 
Avance : LOS TRABAJOS EN LA ZONA YA FINALIZARON
14 julio 2014 : SE COMUNICO VERBALMENTE AL SEÑOR JAIME CORREA INGENIERO RESIDENTE DEL CONSORCIO 23 SOBRE LA QUEJA Y SEGÚN EL ESTOS TRABAJOS SON EJECUTADOS POR EL BID
28 julio 2014 : SE INFORMO AL INGENIERO SUPERVISOR DE ESTA SITUACION PERO LOS FRENTES DE TRABAJO EN ESTAZONA YA TERMINARON LOS TRABAJOS
</t>
  </si>
  <si>
    <t xml:space="preserve">18 septiembre 2013 : En 15 días se realizará de nuevo visita
</t>
  </si>
  <si>
    <t xml:space="preserve">07 diciembre 2013 : Se hace visita técnica el 7 de diciembre con el contratista y el supervisor y se cita a los finqueros. Allí se identifican puntos críticos tanto de los efectos del tráfico de volquetas como del manejo inadecuado de aguas por parte de algunos propietarios. El administrador de la mina se compromete a ayudar en la recuperación de la vía y a trabajar en coordinación con el contratista para arreglar los efectos del tráfico de las volquetas.
</t>
  </si>
  <si>
    <t xml:space="preserve">01 mayo 2013 : Se hace visita técnica y reunión con la comunidad. Se revisa el estado de la vía de acceso al asentamiento y se proyecta la posibilidad de hacer primero obras para canalizar las aguas lluvias. Se analiza la posibilidad de articular con la Alcaldía de Bello para incluir estas obras dentro del programa de sacos de cemento pero la Secretaría de Infraestructura de Bello y la Alcaldía responden que no pueden invertir allí por ser un asentamiento ilegal.
</t>
  </si>
  <si>
    <t xml:space="preserve">03 junio 2013 : Se hace reunión con Secretaría de Gobierno, altos mandos de la Policía y el ingeniero residente de la interventoría. Se le plantea la necesidad de entablar denuncia formal por la extorsión, a lo cual el ingeniero responde negativamente. Se acuerda una operación de vigilancia periódica de la zona donde estan trabajando por parte de las patrullas del sector.
</t>
  </si>
  <si>
    <t xml:space="preserve">24 diciembre 2013 : Tan pronto se recibe la noticia se hace contacto con Secretaría de Gobierno con la Dra. Marta Penagos. Ella hace el puente con el Coronel Comandante de la Policía en el sector y desplazan inmediatamente varias unidades al lugar en donde está retenido el grupo. Se les da información de ubicación precisa y de cómo están vestidos los del equipo del contratista. Finalmente, a las 11:00 am, el grupo armado ante la proximidad de la Policía se va del lugar dejando sanos y salvos a todos los miembros del equipo.
</t>
  </si>
  <si>
    <t xml:space="preserve">07 mayo 2013 : Se adelanta una reunión con la comunidad, Cementos Argos, la Alcaldía de Santa Bárbara y la SIF en la oficina de Gestión Social. A partir de esta reunión se establece un grupo de trabajo para buscar salida técnica y de colaboración entre la SIF y Cementos Argos. La Alcaldía actua como veedora del proceso pues no puede invertir recursos en vías secundarias. A medida que se avanza se involucra el contratista de Oriente y se llega a la solución de aplicar una emulsiíon antipolvo que se ha utilizado en El Cerrejón para atender el mismo problema de contaminaciónm por polvo. Argos aporta 400 millones de pesos y la SIF aporta el contrato de mantenimiento rutinario de Oriente, con su maquinaria y mano de obra. la intervención se inicia el 7 de abril de 2014. Pendiente la terminación y la entrega de la solución.
</t>
  </si>
  <si>
    <t xml:space="preserve">12 febrero 2013 : El Gerente Operativo de la SIF habla con el contratista y se establece que el grupo que está haciendo la rocería está trabajando en jurisdicción de Yarumal, en el tramo Yarumal La Ese. Se compromete para contratar en coordinación con el Alcalde de Angostura el tramo entre La Ese y Angostura.
La situación se vuelve a presentar con el contrato de mantenimiento rutinario reportado el 25 de febrero de 2014 y atendido mediante reunión en Angostura con el Alcalde, el Concejo, el Contratista, el Interventor, las JACS de Angostura y la SIF, el 5 de marzo de 2014.
</t>
  </si>
  <si>
    <t xml:space="preserve">29 noviembre 2013 : Se adelanta una reunión con el grupo de finqueros el 29 de noviembre de 2013 y se aclaran dudas y se hacen compromisos de desempeño frente a la vía. Se hacen dos visitas de inspección entre la gestión Social de la SIF y el delegado de los finqueros, el 18 de diciembre de 2013 y el 18 de febrero de 2014. Se hace reunión informativa con los finqueros el 7 de marzo de 2014.
</t>
  </si>
  <si>
    <t xml:space="preserve">04 marzo 2014 : Se hará reunión con la comunidad el 19 de marzo de 2014.
</t>
  </si>
  <si>
    <t xml:space="preserve">26 abril 2013 : Se realizó el recorrido de los líderes comunitarios con el contratista y la interventoria del contrato para identificar puntos críticosel 26 de abril. La reunión con el Alcalde de Guarne fue gestionada por la SIF y se realizó el 15 de junio, en dicha reunión la comunidad logró resolver sus inquietudes y realizaron acuerdos con la adminstración municipal.
</t>
  </si>
  <si>
    <t xml:space="preserve">24 julio 2014 : El consorcio Malla Víal Antioquia dio respuesta al oficio y efectuó las meidas necesarias para corregir la situación, tras la solicituda realizada con carácter urgente por la supervisión ambiental del contrato.
</t>
  </si>
  <si>
    <t>07 enero 2015 : SEGUIMIENTO REUNION CON LA INTERVENTORIA PARA IDENTIFICAR COMO EL PROCESO DE LA PQRS
22 diciembre 2014 : SEGUIMIENTO LLAMADA TELEFONICA A LA INETEVENTORIA
08 septiembre 2014 : SEGUIMIENTO, SE REALIZO LLAMADA TELEFONICA AL INGENIERO AUGUSTO RICO CON EL FIN DE VERIFICAR COMO VA EL PROCESO DE REPARACION DE ESTA VIA, ALO CUAL RESPONDIO QUE NO HAY PRESUPUESTO QUE YA SE INVIRTIO LO QUE SE HIBA INVERTIR, SEGUIDAMENTE ME COMUNIQUE TELEFONICAMENTE CON EL SEÑOR FERANDO CORTEZ PARA REALIZAR EL RESPECTIVO REPORTE Y EL RESPONDIO QUE SE APERSONARIA DEL TEMA Y ME ESTARIA INFORMANDO.
08 septiembre 2014 : SEGUIMIENTO, SE REALIZO LLAMADA TELEFONICA AL INGENIERO AUGUSTO RICO CON EL FIN DE VERIFICAR COMO VA EL PROCESO DE REPARACION DE ESTA VIA, ALO CUAL RESPONDIO QUE NO HAY PRESUPUESTO QUE YA SE INVIRTIO LO QUE SE HIBA INVERTIR, SEGUIDAMENTE ME COMUNIQUE TELEFONICAMENTE CON EL SEÑOR FERANDO CORTEZ PARA REALIZAR EL RESPECTIVO REPORTE Y EL RESPONDIO QUE SE APERSONARIA DEL TEMA Y ME ESTARIA INFORMANDO.</t>
  </si>
  <si>
    <t>19 agosto 2014 : ENVIO CUADRO PARA SEGUIMIENTO DE PQRS A LA INGENIERA AMBIENTAL ELIZABETH TRUJILLO DE LA SIF
25 agosto 2014 : SE RECIBE RESPUESTA VIA CORREO ELECTRONICO DE LA INGENIERA AMBIENTAL DE LA SIF:ESTA PETICION SE DEBE REALIZAR AL MUNICIPIO, YA QUE LA GOBERNACION SOLO SEÑALIZA LAS VIAS SECUNDARIAS Y ESTA SEÑALIZACION CORRESPONDE A UNA VIA TERCIARIA A CARGO DEL MUNICIPIO.
14 julio 2014 : LLAMADA TELEFONICA AL SECRETARIO DE PLANEACION DEL MUNICIPIO DE ABEJORRAL 
Avance : SEGUN EL LA COMPETENCIA DE LA SEÑALIZACION LE CORRESPONDE AL DEPARTAMENTO, ELLOS COMO ADMINISTRACION HAN SOLICITADO ESTA EN VARIAS OPORTUNIDADES Y SOLO SE REALIZO PARCIALMENTE.</t>
  </si>
  <si>
    <t>Anterior a Septiembre</t>
  </si>
  <si>
    <t>Nidia Zoraida Vásquez Arteaga</t>
  </si>
  <si>
    <t>Johan Sebastián Franco Pineda</t>
  </si>
  <si>
    <t>Marcela Quiceno Calle</t>
  </si>
  <si>
    <t>Lucia Sandoval Cardona</t>
  </si>
  <si>
    <t>María Catalina Martínez Romero</t>
  </si>
  <si>
    <t xml:space="preserve">Dorley Londoño Jiménez </t>
  </si>
  <si>
    <t>Alba Isabel Gallego Montoya</t>
  </si>
  <si>
    <t>Sandra Milena Cortés Zabala</t>
  </si>
  <si>
    <t>Harlen Dayana Cordoba Mena</t>
  </si>
  <si>
    <r>
      <rPr>
        <b/>
        <sz val="8"/>
        <color theme="1"/>
        <rFont val="Calibri"/>
        <family val="2"/>
        <scheme val="minor"/>
      </rPr>
      <t xml:space="preserve">Trámite 2: 21 de Febrero 2015 </t>
    </r>
    <r>
      <rPr>
        <sz val="8"/>
        <color theme="1"/>
        <rFont val="Calibri"/>
        <family val="2"/>
        <scheme val="minor"/>
      </rPr>
      <t xml:space="preserve">
Se reporta PQRS a María Katherine Roa (Ingeniera Apoyo de la Dirección de Desarrollo) quien comunica que la visita no se pudo realizar porque estaban cubriendo otra zona, se le entrega copia de la PQRS y se comunica con la interventoría para realizar visita el día martes (24/02/2015).
</t>
    </r>
  </si>
  <si>
    <t>19 enero 2015 : INGRESO DE PQRS AL APLICATIVO. SE INFORMA AL SUPERVISOR HERNAN GIRALDO TELEFONICAMENTE SOBRE LA QUEJA.</t>
  </si>
  <si>
    <r>
      <rPr>
        <b/>
        <sz val="8"/>
        <color theme="1"/>
        <rFont val="Calibri"/>
        <family val="2"/>
        <scheme val="minor"/>
      </rPr>
      <t>Trámite 4: 26 de Febrero 2015</t>
    </r>
    <r>
      <rPr>
        <sz val="8"/>
        <color theme="1"/>
        <rFont val="Calibri"/>
        <family val="2"/>
        <scheme val="minor"/>
      </rPr>
      <t xml:space="preserve"> 
El Supervisor Juan David Loaiza Gallego envía recibos del arreglo de la Nevera, se adjuntó en correo electrónico a la Gestora Social para verificar su cierre y satisfacción de la solicitante.
</t>
    </r>
  </si>
  <si>
    <t>JOSE AYEN HERNANDEZ</t>
  </si>
  <si>
    <t>LA COMUNIDAD DE LA VEREDA LA GUAYANA DEL MUNICIPIO DE AMALFI, LA CUAL SE LOCALIZA EN EL ENTORNO DE LA VIA EL MANGO - AMAFI, HA PEDIDO EN VARIAS OCASIONES LA ADECUACION DE RESALTOS EN SU INSTITUCION EDUCATIVA RURAL, LLAMADA MERCEDES GAMBAS ESCOBAR, LOCALIZADA APROXIMADAMENTE EN EL K3+000 DE LA VIA EL MANGO - AMALFI. LA SOLICITUD SE HACE PARA PREVENIR ACCIDENTES DE LOS NIÑOS Y LAS NIÑAS QUE ALLI ESTUDIAN.</t>
  </si>
  <si>
    <t>ARMANDO LONDOÑO</t>
  </si>
  <si>
    <t>SE SOLICITA ADECUACION DE BAHIA PARA CARGUE Y DESCARGUE, EN EL ACCESO AL CASERIO EL INDIO DE LA VEREDA LA GUAYANA DEL MUNICIPIO DE AMALFI, UBICADO APROXIMADAMENTE EN EL K1+500 DE LA VIA EL MANGO - AMALFI. LA SOLICITUD SE REALIZA POR LA ALTA PROBABILIDAD DE ACCIDENTES DEBIDO A LOS VEHICULOS QUE ALLI SE ESTACIONAN Y A LA CURVA PRONUNCIADA QUE SE UBICA CERCA.</t>
  </si>
  <si>
    <t>LA CEJA DEL TAMBO</t>
  </si>
  <si>
    <t>Otro (Cable aéreo o Vía urbana)</t>
  </si>
  <si>
    <t>BLANCA INES CARDONA</t>
  </si>
  <si>
    <t>LA SEÑORA  BLANCA INES CARDONA  SOLICITA INFORMACION  DE SI SE VA  A COTINUAR PARA LA VIGENCIA 2015  CON LA CONSTRUCCION DE ANDENES FALTANTES EN LA VIA URBANA  CALLE 28 ( BARRIO SAN CAYETANO), PUESTO QUE CUANDO SE REALIZO LA INTERVENCION  EN LA VIA  DEJARON  UN GRAN TRAMO SIN  CONSTRUCCION DE ANDENES.</t>
  </si>
  <si>
    <r>
      <rPr>
        <b/>
        <sz val="8"/>
        <color theme="1"/>
        <rFont val="Calibri"/>
        <family val="2"/>
        <scheme val="minor"/>
      </rPr>
      <t>Tramite 1: 26 de Febrero 2015</t>
    </r>
    <r>
      <rPr>
        <sz val="8"/>
        <color theme="1"/>
        <rFont val="Calibri"/>
        <family val="2"/>
        <scheme val="minor"/>
      </rPr>
      <t xml:space="preserve">
Se establece con la trabajadora social dar una respuesta por parte del supervisor Libardo Augusto Rico Giraldo donde se explique que las obras de INFRAME están el proceso de investigación por parte de la entidad encargada
</t>
    </r>
  </si>
  <si>
    <r>
      <rPr>
        <b/>
        <sz val="8"/>
        <color theme="1"/>
        <rFont val="Calibri"/>
        <family val="2"/>
        <scheme val="minor"/>
      </rPr>
      <t>Tramite 2: 26 de Febrero 2015</t>
    </r>
    <r>
      <rPr>
        <sz val="8"/>
        <color theme="1"/>
        <rFont val="Calibri"/>
        <family val="2"/>
        <scheme val="minor"/>
      </rPr>
      <t xml:space="preserve">
Se establece con la trabajadora social dar una respuesta por parte del supervisor Libardo Augusto Rico Giraldo donde se explique que las obras de INFRAME están el proceso de investigación por parte de la entidad encargada</t>
    </r>
  </si>
  <si>
    <r>
      <rPr>
        <b/>
        <sz val="8"/>
        <color theme="1"/>
        <rFont val="Calibri"/>
        <family val="2"/>
        <scheme val="minor"/>
      </rPr>
      <t>Tramite 4: 26 de Febrero 2015</t>
    </r>
    <r>
      <rPr>
        <sz val="8"/>
        <color theme="1"/>
        <rFont val="Calibri"/>
        <family val="2"/>
        <scheme val="minor"/>
      </rPr>
      <t xml:space="preserve">
Se establece con la trabajadora social dar una respuesta por parte del supervisor Libardo Augusto Rico Giraldo donde se explique que las obras de INFRAME están el proceso de investigación por parte de la entidad encargada
</t>
    </r>
  </si>
  <si>
    <t>24 al 2 de Marzo</t>
  </si>
  <si>
    <r>
      <rPr>
        <b/>
        <sz val="8"/>
        <color theme="1"/>
        <rFont val="Calibri"/>
        <family val="2"/>
        <scheme val="minor"/>
      </rPr>
      <t>Trámite 1: 25 de Febrero 2015</t>
    </r>
    <r>
      <rPr>
        <sz val="8"/>
        <color theme="1"/>
        <rFont val="Calibri"/>
        <family val="2"/>
        <scheme val="minor"/>
      </rPr>
      <t xml:space="preserve">
Se reporta PQRS al supervisor Hernán Giraldo Atehortúa junto a las demás, dice que en el momento tiene una responsabilidad administrativa y da cita para socializar las PQRS en la próxima semana.</t>
    </r>
  </si>
  <si>
    <r>
      <rPr>
        <b/>
        <sz val="8"/>
        <color theme="1"/>
        <rFont val="Calibri"/>
        <family val="2"/>
        <scheme val="minor"/>
      </rPr>
      <t>Trámite 2: 25 de Febrero 2015</t>
    </r>
    <r>
      <rPr>
        <sz val="8"/>
        <color theme="1"/>
        <rFont val="Calibri"/>
        <family val="2"/>
        <scheme val="minor"/>
      </rPr>
      <t xml:space="preserve">
Se reporta nuevamente PQRS al supervisor Hernán Giraldo Atehortúa, dice que en el momento tiene una responsabilidad administrativa y da cita para socializar las PQRS en la próxima semana.</t>
    </r>
  </si>
  <si>
    <r>
      <rPr>
        <b/>
        <sz val="8"/>
        <color theme="1"/>
        <rFont val="Calibri"/>
        <family val="2"/>
        <scheme val="minor"/>
      </rPr>
      <t xml:space="preserve">Trámite 1: 25 de Febrero 2015
Respuesta
</t>
    </r>
    <r>
      <rPr>
        <sz val="8"/>
        <color theme="1"/>
        <rFont val="Calibri"/>
        <family val="2"/>
        <scheme val="minor"/>
      </rPr>
      <t xml:space="preserve">
Se reporta PQRS al ingeniero Andrés Mauricio Rodríguez Collazos. En la actualidad no se cuenta con presupuesto para la construcción de resaltos en la vía. Sin embargo la Secretaria de Infraestructura procedió a realizar la señalización de las zonas Escolares, específicamente conociendo la misma importancia de proteger la integridad de los estudiantes, dicha intervención deberá cumplir tal fin.
</t>
    </r>
  </si>
  <si>
    <r>
      <rPr>
        <b/>
        <sz val="8"/>
        <color theme="1"/>
        <rFont val="Calibri"/>
        <family val="2"/>
        <scheme val="minor"/>
      </rPr>
      <t>Trámite 1: 25 de Febrero 2015
Respuesta</t>
    </r>
    <r>
      <rPr>
        <sz val="8"/>
        <color theme="1"/>
        <rFont val="Calibri"/>
        <family val="2"/>
        <scheme val="minor"/>
      </rPr>
      <t xml:space="preserve">
Se reporta PQRS al ingeniero Andrés Mauricio Rodríguez Collazos. Se realizará mantenimiento rutinariamente nuevamente en el siguiente contrato de la subregión dado que los recursos del actual han sido agotados. PQRS a la espera de redactar y respuesta oficial
</t>
    </r>
  </si>
  <si>
    <r>
      <rPr>
        <b/>
        <sz val="8"/>
        <color theme="1"/>
        <rFont val="Calibri"/>
        <family val="2"/>
        <scheme val="minor"/>
      </rPr>
      <t>Trámite 1: 25 de Febrero 2015
Respuesta</t>
    </r>
    <r>
      <rPr>
        <sz val="8"/>
        <color theme="1"/>
        <rFont val="Calibri"/>
        <family val="2"/>
        <scheme val="minor"/>
      </rPr>
      <t xml:space="preserve">
Se reporta PQRS al ingeniero Andrés Mauricio Rodríguez Collazos. Se programará hacer mantenimiento rutinario en el siguiente contrato de la subregión dado que los recursos del actual han sido agotados. PQRS a la espera de redactar y respuesta oficial
</t>
    </r>
  </si>
  <si>
    <r>
      <rPr>
        <b/>
        <sz val="8"/>
        <color theme="1"/>
        <rFont val="Calibri"/>
        <family val="2"/>
        <scheme val="minor"/>
      </rPr>
      <t>Trámite 1: 25 de Febrero 2015
Respuesta</t>
    </r>
    <r>
      <rPr>
        <sz val="8"/>
        <color theme="1"/>
        <rFont val="Calibri"/>
        <family val="2"/>
        <scheme val="minor"/>
      </rPr>
      <t xml:space="preserve">
Se reporta PQRS al ingeniero Andrés Mauricio Rodríguez Collazos. Se programa hacer señalización vertical para la escuela CER Santa Rosa Vereda la Travesía de  San Vicente en el contrato actual de mantenimiento para el oriente, el supervisor se comunica telefónicamente para hacer efectivo el avance. PQRS abierta a la espera de recibir respuesta oficial y/o satisfacción de intervención.
</t>
    </r>
  </si>
  <si>
    <r>
      <rPr>
        <b/>
        <sz val="8"/>
        <color theme="1"/>
        <rFont val="Calibri"/>
        <family val="2"/>
        <scheme val="minor"/>
      </rPr>
      <t>Trámite 1: 25 de Febrero 2015
Respuesta</t>
    </r>
    <r>
      <rPr>
        <sz val="8"/>
        <color theme="1"/>
        <rFont val="Calibri"/>
        <family val="2"/>
        <scheme val="minor"/>
      </rPr>
      <t xml:space="preserve">
Se reporta PQRS al ingeniero Juan Gonzalo Castrillón. Se determina que no se tiene competencia en la vía terciaria para la intervención del puente, se aclara la jerarquía de la vía con el equipo de planeación y se conversa con la gestora social, en el momento se evidencia que hay programado la construcción de un puente en la zona por parte de la SIF, la PQRS está abierta al verificar la razón por la cual se decide construir un puente y no hacer mantenimiento al anterior en la vía terciaria.
</t>
    </r>
  </si>
  <si>
    <r>
      <rPr>
        <b/>
        <sz val="8"/>
        <color theme="1"/>
        <rFont val="Calibri"/>
        <family val="2"/>
        <scheme val="minor"/>
      </rPr>
      <t>Trámite 1: 25 de Febrero 2015
Respuesta</t>
    </r>
    <r>
      <rPr>
        <sz val="8"/>
        <color theme="1"/>
        <rFont val="Calibri"/>
        <family val="2"/>
        <scheme val="minor"/>
      </rPr>
      <t xml:space="preserve">
Se reporta PQRS al ingeniero supervisor Andrés Mauricio Rodríguez Collazos. Se comunica con la Gestora Social y transmite que el hecho ocurrido fue un accidente lamentable que pudo haber ocurrido en cualquier sector de la zona y que lastimosamente ocurrió en la obra realizada. Se recomienda a la comunidad transitar con cuidado por el sendero que inicialmente no se concibió para un paso peatonal, la PQRS está abierta a la espera de la decisión del supervisor en el caso.
</t>
    </r>
  </si>
  <si>
    <t xml:space="preserve">07 julio 2014 : PQRS ESCANEADA A FERNANDO
08 octubre 2014 : SE ESTAN EJECUTANDO LAS OBRAS POR PARTE DEL CONTRATISTA
29 agosto 2014 : SE REALIZA RECORRIDO TECNICO Y SE VERIFICA INTERVENCION DE FALLAS POR PARTE DE INFRAME
29 noviembre 2014 : CIERRE DE PQRS DURANTE RECORRIDO DE SECRETARIO, GERENTE OPERATIVO, DIRECTOR DE DESARROLLO FISICO Y SUPERVISOR.
</t>
  </si>
  <si>
    <t xml:space="preserve">29 agosto 2014 : CIERRE DE PQRS DURANTE RECORRIDO DE SECRETARIO, GERENTE OPERATIVO, DIRECTOR DE DESARROLLO FISICO Y SUPERVISOR.
07 julio 2014 : PQRS ESCANEADA A FERNANDO
08 octubre 2014 : SE ESTAN EJECUTANDO LAS OBRAS POR PARTE DEL CONTRATISTA
29 noviembre 2014 : SE REALIZA RECORRIDO TECNICO Y SE VERIFICA INTERVENCION DE FALLAS POR PARTE DE INFRAME
</t>
  </si>
  <si>
    <t xml:space="preserve">18 julio 2014 : SE REALIZO VISITA AL CORREGIMIENTO DE CORDOBA CON LA INTERVENTORA JAHIRA GOMEZ PARA ATENDER LA SOLICITU DE LA INDTAURACION DE REDUCTORES DE VELOCIDAD, LA INTERVENTORA REALIZA TOMA DE FOTOS EN LOS TRES PUNTOS SOLICITADOS PARA SER LLAVADAS AL INGENIERO CONTATISTA, SE COMPROMETE A REALIZAR CON ESTE EL DIA LUNES 21 DE JULIO. 
Avance : COMPROMISO DE LA INTERVENTORA JAHIRA GOMEZ A VISITAR EL TERRENO CON EL INGENIERO CONTRATISTA
26 agosto 2014 : REALIZÓ VISITA CON LA RESIDENTE DE LA OBRA LA ING. AYDA LUZ MERA, CON EL MAESTRO DE OBRA Y CON LA INTERVENTORA PARA FIJAR SITIOS DE LA INSTALIÓN DE LOS REDUCTORES.
18 septiembre 2014 : SE RALIZA SEGUIMIENTO A LA PQRS, EN ESTE MOMENTO SE DA COMO RESUELTA DADO A QUE YA SE ENCUETRAN CONSTRUIDOS LOS RESALTOS SOLICITADOS POR EL SEÑOR RAFAEL ORTIZ.
14 agosto 2014 : SE REALIZA LLAMADA TELEFONICA A LA INTERVENTORA JAHIRA GOMEZ, PARA INDAGAR A CERCCA DE LA PQRS, A LO CAUL MANIFIESTA QUE SE REALICE LLAMADA AL INGENIEERO JUAN GUILLERMO LOPEZ, SE REALIZA DICHA LLAMADA Y EL INGENIERO MANIFIESTA QUE LOS RESALTOS YA ESTÁN SIENDO EJECUTADOS, EMPEZANDO POR EL SECTOR DE CUATRO ESQUINAS Y PARA EL DÍA MIERCOLES 20 DE AGOSTO SE INICIA LA CONSTRUCCION DE LOS RESALTOS DE CORDOBA, ADEMAS SE INSTALARA LAS SEÑALIZACIONES CORRESPONDIENTES.
22 agosto 2014 : SE RALIZA VISITA CON LOS INGENIEROS DEL CONTRATISTA, LOS CUALES TIENEN LA ORDEN DE EJECUTAR LA CONSTRUCCION DE LOS RESALTOS
11 junio 2014 : SE REALIZO VISITA EL CORREGIMIENTO CORDOBA DEL MUNICIPIO DE SOPETRAN PARA CONSTATAR EN TERRENO LA SOLICITUD DEL SEÑOR RAFAEL, SE VERIFICO QUE SE HACE NECESARIO LA INSTALACION DE LOS REDUCTORES DE VELOCIDAD DADO QUE EL PELIGRO DE ACCIDENTALIDAD ES INMINENTE, SE RALIZO REGISTRO FOTOGRAFICO 
Avance : SE REALIZO REUNION CON EL INGENIERO LEDESMA SUPERVISOR DE CONTRATISTA Y MANIFIESTA QUE YA ESTA EN TRAMITE LA SOLICITUD DE LOS REDUCTORES
</t>
  </si>
  <si>
    <t xml:space="preserve">11 agosto 2014 : EL SUPERVISOR HERNAN GIRALDO INFORMA QUE EL MANTENIMIENTO MANUAL NO FUE CONTRATADO CON LA MANO DE OBRA DEL MUNICIPIO PORQUE YA SE TENIA CONTRATADO ESTE MANTENIMIENTO CON OTRA EMPRESA
02 julio 2014 : REUNION CON EL INGENIERO SUPERVISOR HERNAN GIRALDO EN LA CUAL SE LE EXPUSO LA PETICION
08 agosto 2014 : EL SEÑOR FERNANDO CORTES INFORMA QUE LAS CAPACITACIONES CON EL SENA NO SE REALIZARON PORQUE DICHA ENTIDAD NO TENIA LA FACULTAD PARA REALIZAR ESTAS CAPACITACIONES
</t>
  </si>
  <si>
    <t xml:space="preserve">20 octubre 2014 : EL INGENIERO HERNAN GIRALDO INFORMA QUE LA VIA YA FUE INTERVENIDA EN SUS PUNTOS CRITICOS, LA TOTALIDAD DEL ARREGLO DE LAVIA SE REALIZARA EL AÑO ENTRANTE CON EL PRESUPUESTO PARA EL SUROESTE
15 julio 2014 : SE COMUNICO AL SEÑOR JAIME CORREA, INGENIERO RESIDENTE DEL CONSORCIO SUROESTE 23 SOBRE LA SOLICITUD Y SEGÚN EN ESTA VIA SE HAN REALIZADOS TRABAJOS MUY PUNTUALES, PARA INTERVENIRLA TODA ES NECESARIO TRRAMITARLO CON LA SIF.
</t>
  </si>
  <si>
    <t xml:space="preserve">16 febrero 2015 : EN REUNIÓN CON EL SUPERVISOR DEL SUROESTE DE LA SIF SE PLANTEÓ QUE EL CONTRATISTA DEBERÁ REPARAR LOS DAÑOS 
Avance : EL CONTRATISTA FUE CONTACTADO PARA QUE INICIE LAS REPARACIONES.
06 agosto 2014 : LLAMADA A LA ING AMBIENTAL DE LA SIF A CARGO, ELIZABETH TRUJILLO, PARA SOLICITAR INFORMACION DEL CASO 
Avance : SE PROGRAMA REUNION PARA EL 11 DE AGOSTO EN LA SIF PARA HABLAR DEL TEMA
03 julio 2014 : ENTREGA DE LA PQRS A LA INTERVENTORIA 
Avance : PROGRAMARON VISITA PARA LA SEMANA SIGUIENTE
14 julio 2014 : VISITALA INTERVENTORIA Y ESTAN DANDOLE TRAMITE AL ASUNTO 
Avance : VISITA EL JUEVES 17 DE JULIO (INTERVENTORIA Y CONTRATISTA)
15 julio 2014 : DIALODO SOBRE EL TEMA CON EL CONTRATISTA Y LA INTERVENTORIA 
Avance : SE REALIARA VISITA DURANTE LA SEMANA PARA INSPECCIONAR EL TEMA
</t>
  </si>
  <si>
    <t xml:space="preserve">06 agosto 2014 : LLAMADA A LA ING AMBIENTAL DE LA SIF A CARGO, ELIZABETH TRUJILLO, PARA SOLICITAR INFORMACION DEL CASO 
Avance : SE PROGRAMA REUNION PARA EL 11 DE AGOSTO EN LA SIF PARA HABLAR DEL TEMA
09 septiembre 2014 : VISITA CON CONTRATISTA E INTERVENTORIA PARA SOLUCIONAR EL CASO 
Avance : SE ESTABLECIO ACUERDO CON DOÑA LUCIA, ANTES DEL PROXIMO 15 DE SEPTIEMBR EL TEMA ESTARÁ RESUELTO
13 septiembre 2014 : SOLUCIONADO, SE ENTREGO LA MANGUERA Y LA SEÑORA FIRMO EL RECIBIDO 
Avance : CERRADA PQRS
17 julio 2014 : VISITA POR PARTE DEL CONTRATISTA A LA SEÑORA AFECTADA 
Avance : SE BUSCO LLEGARA UN ARREGLO. EL CONTRATISTA OFRECIO DOS ROLLOS DE MANGUERA Y LA SEÑORA INSISTE QUE SON 600METROS, SE DEBE RESOLVER ESTE TEMA CON INTERVENCION DE LA SIF.
24 junio 2014 : VISTA PARA INSPECCION DE LA QUEJA 
Avance : REPORTE DE LA PQRS
</t>
  </si>
  <si>
    <t xml:space="preserve">25 junio 2014 : SE RECORRE EL TRAMO AFECTADO Y SE DIALOGA CON LOS AFECTADOS SOBRE LA MAGNITUD DE LA SITUACION 
Avance : REPORTE DE LA NOVEDAD AL SUPERVISOR DE OBRA
24 junio 2014 : VISITA AL LUGAR, EN COMPAÑÍA DE PLANEACION MUNICIPAL 
Avance : REPORTE DE LA PQRS
20 febrero 2015 : SE DIALODÓ CON EL SUPERVISOR DE LA SIF Y CONSIDERA QUE SE DEBE PROGRAMAR REUNION CON EL CONTRATISTA PARA EVALUAR LA INFORMACION DE LA VISITA PROGRAMADA PARA AGISTO 
Avance : SE PROGRAMÓ REUNION CON EL CONTRATISTA PARA LA ULTIMA SEMANA DE FEBRERO.
17 julio 2014 : SE SOLICITO AL CONTRATSISTA DAR TRAMITE A ESTO DE FORMA INMEDIATA 
Avance : VISITA POR PARTE DEL CONTRATISTA AL PREDIO, PARA INSPECCIONAR LA MAGNITUD DE LA SITUACION
06 agosto 2014 : LLAMADA A LA ING AMBIENTAL DE LA SIF A CARGO, ELIZABETH TRUJILLO, PARA SOLICITAR INFORMACION DEL CASO 
Avance : SE PROGRAMA REUNION PARA EL 11 DE AGOSTO EN LA SIF PARA HABLAR DEL TEMA
</t>
  </si>
  <si>
    <t xml:space="preserve">27 junio 2014 : ENTREGA DE PQRS A LA SIF 
Avance : NINGUNO
06 agosto 2014 : SOLICITUD DE REPORTE DE VISITA 
Avance : PENDIENTE ENTREGA DE RESPUESTA A LA PERSONA QUE INTERPUSO LA PQRS
30 julio 2014 : VISITA POR PARTE DE LA ING AMBIENTAL DE LA SIF AL LUGAR DE DEPOSITO 
Avance : SE TOMARON LOS CORRECTIVOS CORRESPONDIENTES
</t>
  </si>
  <si>
    <t xml:space="preserve">25 julio 2014 : ENCUENTRO ENTRE LA ADMINISTRACION MUNICIPAL, CONTRATISTA Y GESTION SOCIAL PARA ACLARAR LA SITUACION. 
Avance : SE ACORDÓ, POR PARTE DEL CONTRATISTA ACLARAR CON EL PROPIETARIO DEL LUGAR DE DEPOSITO, EL MANEJO DEL MATERIAL QUE ALLI REPOSA. POR PARTE DE LA ADMINISTRACION SE OFICIARA A LA GOBERNACION EL REQUERIMIENTO DEL MATERIAL AZFALTICO PARA MEJORA DE SUS VÍAS TERCIARIAS.
22 julio 2014 : ENCUENTRO CON EL SEÑOR RIGOBERTO FRANCO EN LA TRILLADORA 
Avance : COMENTA QUE EL RECIBE EL MATERIAL A CAMBIO DEL BOTADERO.
22 julio 2014 : ENTREGA DEL CASO A LA SIF 
Avance : SE RECIBE RECOMENDACIÓN DE LA SIF PARA ACLARAR EL TEMA A CARGO DE FERNANDO CORTES
16 septiembre 2014 : SE ENTREGA INFORMACION SOBRE SUSPENSIÓN DE RETIRO DE MATERIAL DEL BOTADERO 
Avance : LAS CONDICIONES DE LA
 NEGOCIACION CON EL DUEÑO DEL BOTADERO FUERON REVISADAS Y DEBE PROCEDERSE DE FORMA DIFERENTE..
11 septiembre 2014 : EL PROPIETARIO DEL BOTADERO NO PERMITE QUE LA ADMINISTRACION RETIRE MATERIAL DEL BOTADERO 
Avance : SE CONSULTARÁ ANTE LA SIF LA FORMA DE PROCEDER.
29 octubre 2014 : ENTREGA DE CARTA CON RESPUESTA A ALCALDIA Y SECRETARIA PLANEACION
</t>
  </si>
  <si>
    <t xml:space="preserve">19 febrero 2015 : LA SECRETARIA DE PLANEACION CONFIRMA QUE LOS ACUERDOS SE CUMPLIERON Y QUE LE EXPIDIO AL CONTRATISTA CARTA DE PAZ Y SALVO 
Avance : PQRS CERRADA
25 julio 2014 : SE AGENDO REUNION CON ALCALDE, CONTRATISTA, INTERVENTORIA Y GESTION SOCIAL PARA ACLARAR LA SITUACION 
Avance : REUNION 6 DE AGOSTO
31 julio 2014 : VISITA DE INSPECCION A LOS LUGARES AFECTADOS EN COMPAÑÍA DE LA SECRETARIA DE PLANEACION DEL MUNICIPIO 
Avance : SE REALIZA INFORME DE VISITA Y SE ENTREGA A LA SIF
06 agosto 2014 : SE CANCELA REUNION DESDE LA SIF, Y SE REPROGRAMA PARA LA SEMANA SIGUIENTE 
Avance : ENTREGA DE REGISTRO FOTOGRAFICO A LA ING DE LA SIF, PARA PREPARAR INFORME PARA LA REUNION DEL 6 DE AGOSTO PROXIMO
16 septiembre 2014 : REUNION EN LA SIF ENTRE SUPERVISOR, INTERVENTORIA, GESTION SOCIAL Y ADMINISTRACION MUNICIPAL. 
Avance : ACUERDO DE PAGO POR EL MATERIAL DE CANTERA A $10.000 METRO CUBICO. SE REGISTRARON15.000 METROS CUBICOS CARGADOS DE LA CANTERA. EL SUPERVISOR DE LA SIF, DIJO QUE EL CONTRATISTA DEBE RESPONDER
</t>
  </si>
  <si>
    <t xml:space="preserve">19 agosto 2014 : ENTREGA DE LA PQRS A LA SIF 
Avance : REGISTRO EN EL APLICATIVO
01 septiembre 2014 : DILIGENCIA EN SUPERVISION DE LA SIF 
Avance : SE APROBÓ LA INTERVENCION EN LOS TRES SITIOS
10 septiembre 2014 : SEÑALIZACION EN SITIO 
Avance : CERRADA LA PQRS
18 septiembre 2014 : ENTREGA FORMAL DE LA RESPUESTA 
Avance : SE LEVANTO ACTA DE LA ENTREGA DE LA SEÑALIZACION ESCOLAR SOLICITADA, EN PRESENCIA DE LA SECRETARIA DE PLANEACION Y EL INSPECTOR DE TRANSITO MUNICIPAL.
</t>
  </si>
  <si>
    <t xml:space="preserve">22 agosto 2014 : ENTREGA DE LA SOLICITUD AL SUPERVISOR Y LA ING AMBIENTAL DE LA SIF A CARGO DEL SUROESTE 
Avance : TRAMITE ATRA VEZ DE LA SIF Y EL CONTRATISTA
01 septiembre 2014 : GESTION EN LA SUPERVISION DE LA SIF 
Avance : APROBACION DE LA INTVENCION EN EL SITIO- YA SE EJECUTO
18 septiembre 2014 : ENTREGA FORMAL DE LA RESPUESTA A LA PQRS 
Avance : SE LOGRO CERRAR LA PQRS N CAMPO, EN COMPAÑÍA DE LA DOCENTE QUE INICIO EL TRÁMITE.
</t>
  </si>
  <si>
    <t xml:space="preserve">25 julio 2014 : COMUNICACIÓN FUNCIONARIA DEL DAPARD SIN RESPUESTA
02 julio 2014 : COMUNICACIÓN CON FUNCIONARIA DEL DAPARD
28 julio 2014 : SUPERVISORA MARGARITA GIL INFORMA QUE YA ATENDIO EL ARREGLO DE LA VIA
</t>
  </si>
  <si>
    <t xml:space="preserve">15 febrero 2014 : Se da respuesta, la secretaria informo que no es factible la apertura
</t>
  </si>
  <si>
    <t xml:space="preserve">00 enero 1900 : Se hizo intervención por el Socorro
00 enero 1900 : La secretaria aclaro que no hace apertura de vía
00 enero 1900 : El Secretario dice: Que el compromiso es invertir en los 53 km. entre Betulia y Concordia, hay 
$ 1040.000.000 para atenderla
</t>
  </si>
  <si>
    <t xml:space="preserve">00 enero 1900 : La secretaria aclaro que no hace apertura de vía
14 febrero 2014 : Se levanto derrumbe
</t>
  </si>
  <si>
    <t xml:space="preserve">10 febrero 2015 : SE REALIZA VISITA AL PUENTE DE OCCIDENTE Y SE PUEDE CONSTATAR QUE EN LA ACTUALIDAD, ESTE CUENTA CON ILUMINACION, RAMPA PARA CIRCULACION DE PERSONAS EN CONDICION DE DISCAPACIDAD Y SE ABRIERON LAS PUERTAS DE ACCESO AL PUENTE, (ANTES TENIAN PARAL EN LA MITAD PARA DIFICULTAR EL ACCESO A LAS MOTOS)
05 septiembre 2014 : SE CONFORMA VEEDURIA PARA VIGILANCIA DE TODOS LOS ASUNTOS DE LA PQRS
</t>
  </si>
  <si>
    <t xml:space="preserve">05 septiembre 2014 : SE CONFORMA VEEDURIA PARA DARLE TRAMITE A TODOS LOS ASUNTOS DE LA PQRS
19 septiembre 2014 : SE RECIBE LLAMADA TELEFÓNICA POR PARTE DE LA SEÑORA ANA ISABEL GONZALEZ INFORMANDO QUE EN EL PUENTE DE OCCIDENTE SE RALIZO REVISION DEL TABLADO UNA POR UNA, POR PARTE DEL CONTRATISTA, QUEDA PENDIENTE ILUMINACION.
17 diciembre 2014 : SE REALIZA REINAUGURACION DEL PUENTE DE OCCIEDNETE DONDE SE ENCIENDEN LAS LUCES DEFINITIVAS QUE TENDRA EL PUENTE DE OCCIDENTE, ADEMAS LAS OTRAS PQRS QUEDARON RESUELTAS CON LA REVISION DEL AABLADO POR PARTE DEL PERSONAL OPERATIVO DEL PUENTE
</t>
  </si>
  <si>
    <t xml:space="preserve">08 octubre 2014 : SE REALIZA SEGUIMIENTO A LA PQRS, DONDE SE PUEDE CONSTATAR QUE SE CONSTRUYE LA ESCALA SOLICITADA POR PARTE DEL CONTRATISTA, LA SEÑORA MANIFIESTA QUE NO QUEDA SATISFECCHA CON DICHA CONSTRUCCIÓN PORQUE NO SE REALIZÓ DE MANERA ADECUADA Y CON BUEN MATERIAL, SOLICITA UNA NUEVA REVISIÓN.
</t>
  </si>
  <si>
    <t xml:space="preserve">28 noviembre 2014 : SOCIALIZACION DE OBRAS DE OCENSA EN LA VEREDA BODEGAS DE PUERTO BERRIO. 
Avance : SE SOCIALIZO CON LAS COMUNIDADES DE LAS VEREDAS BODEGAS DE PUERTO BERRIO Y CHORRO E LAGRIMAS DE REMEDIOS Y DE OTRAS VEREDAS CERCANAS, LAS INTERVENCIONES REALIZADAS POR LA EMPRESA OCENSA EN SU PRIMERA FASE DE OBRAS EN ESTE TRAMO DE LA VIA. OCENSA INFORMO QUE EL AÑO ENTRANTE DARA INICIO A UNA SEGUNDA FASE QUE COMPRENDE LOS TRABAJOS Y OBRAS FALTANTES.
19 septiembre 2014 : LA PQRS FUE REMITIDA AL INGENIERO EDIER LOPEZ 
Avance : La atención programada y realizada para ésta vía por parte de la Secretaría de Infraestructura Física, consistió en un mantenimiento y mejoramiento en el marco del contrato de: Mantenimiento, Rehabilitación y Mejoramiento de la Red Vial Secundaria. 
Con la Empresa OCENSA se realizaron conversaciones para que aportaran al mantenimiento de un tramo de la vía con lo cual respondieron afirmativamente. 
Se aclara que el Consorcio Inframe continua sus trabajos en otras vías del Nordeste y Magdalena Medio donde también se habían programado inversiones, y que en dicho mantenimiento se priorizaron las actividades de conformación y afirmado a lo largo de la vía, atención a puntos críticos, realización de obras en determinados puntos a lo largo de la vía y el mantenimiento manual.
Se agradece el interés por la atención de la vía pero se informa que en la actualidad ya se realizó la inversión programada en dicha zona, por lo tanto, no se cuenta con mas recursos para intervenirla.
</t>
  </si>
  <si>
    <t xml:space="preserve">14 octubre 2014 : SE ENVIO A LA INGENIERA AMBIENTAL ELIZABET TRUJILLO UN CONSOLIDADO CON ESTA PQRS
10 septiembre 2014 : REGISTRO PQRS EN APLICATIVO
19 septiembre 2014 : LA REALIZACION DE RESALTOS NO ESTA DENTRO DEL ALCANCE DEL CONTRATO, SIN EMBARGO SE COORDINARA CON EL TRANSITO MUNICIPAL PARA PROGRAMAR LA SEÑALZACION DE LA VIA CON PINTURA, RESPONDIO LA SUPERVISORA DEL CONTRATO JULIANA GOMEZ
</t>
  </si>
  <si>
    <t xml:space="preserve">10 febrero 2015 : ENTREGA DE LA ORDEN DE ACTIVIDAD A LA INTERVENTYORIA PARA QUE EL CONTRATISTA CONSTRUYA EL DISIPADOR 
Avance : YA EL CONTRATISTA ESTA HACIENDO LOS ESTUDIOS PARA DETERMINAR CANTIDADES DE OBRAS
11 septiembre 2014 : RECIBO Y VISITA EN EL LUGAR PARA VERIFICAR PQRS 
Avance : QUIEN ACOMPAÑO LA VISITA FUE LA INGENIERA ELIZABETH TRUJILLO, QUIEN DE MANERA INMEDIATA TRASMITIO LA RESPONSABILIDAD DE DAR TRAMITE A LA INTERVENTORIA DE OBRA.
16 febrero 2015 : POR SOLICITUD DEL SUPERVISOR DE LASIF PARA EL SUROESTE, SE DEBE HACER SEGUIMIENTO A LA ENTREGA SATISFACTORIA DEL DISIPADOR 
Avance : SE PLANEA VISITAR EL LUGAR LA PRIMERA SEMANA DE MARZO
24 octubre 2014 : ENVIO CARTA POR CORREO ELECTRONICO CON FIRMAS DE FUNCIONARIOS DE LA GOBERNACION
22 octubre 2014 : ENTREGA DE CARTA CON RESPUESTA
19 octubre 2014 : SE REMITE LA RESPUESTA A LA INGENIERA ELISABETH TRUJILLO, QUIEN TRAMITARA LA RESPUESTA
</t>
  </si>
  <si>
    <t xml:space="preserve">23 diciembre 2014 : VISITA TECNICA DEL ING. JUAN FERNANDO FRANCO Y REUNION EN ZONA CON LA COMUNIDAD 
Avance : EL INGENIERO JUAN FERNANDO FRANCO INFORMA DURANTE ESTA VISITA EN REUNIÓN CON ALGUNOS HABITANTES DEL SECTOR, QUE DICHA OBRA QUE CONSISTIÓ EN LA AMPLIACIÓN DEL PUENTE ANTIGUO, ESTUVO A CARGO DEL INGENIERO MARCO AURELIO AGUDELO, Y CUANDO SE EJECUTÓ SE PRESENTABA UNA ÉPOCA DE MUCHO INVIERNO Y SE TUVO PROBLEMAS CON EL CAUCE DE LA QUEBRADA. LA COMUNIDAD AFIRMA QUE LUEGO DE LOS TRABAJOS SE DESPRENDIÓ LA ALETA DERECHA CON LA QUE CONTABA ANTIGUAMENTE EL PUENTE, POR LO QUE EL AGUA EMPEZÓ A ENTRARSE HACIA LA MARGEN DERECHA, OCASIONANDO INESTABILIDAD EN EL TERRENO Y PONIENDO EN RIESGO LAS VIVIENDAS QUE SE ENCUENTRAN EN DICHA MARGEN DE LA QUEBRADA, PRINCIPALMENTE LA CASETA COMUNAL DE LA VEREDA EL HORMIGUERO, LA CUAL PRESENTA LA MAYOR AMENAZA DE DESPRENDIMIENTO. EL ING. JUAN FERNANDO FRANCO INFORMA QUE POR ENCONTRARSE ESTAS CONSTRUCCIONES EN EL RETIRO TANTO DE LA QUEBRADA COMO DE LA CARRETERA, LO MEJOR ES RE-UBICAR Y ELLO LE COMPETE A LA ADMINISTRACIÓN MUNICIPAL DE YOLOMBÓ. TAMBIÉN ACLARA QUE LA CAÍDA DE LA ALETA NO ESTÁ PERMITIENDO EL CONFINAMIENTO DEL AGUA, POR LO QUE HA CREADO UNHUECO QUE PONE EN RIESGO LA ESTABILIDAD DE LA CASETA COMUNAL Y HASTA DE LA MISMA VÍA. 
UN HABITANTE DEL SECTOR INFORMA QUE YA EXISTE UN PROCESO PARA LA RE-UBICACIÓN DE LAS VIVIENDAS. EL ING. JUAN FERNANDO FRANCO EVALÚA LA POSIBILIDAD DE CONSTRUIR UNA OBRA DE MITIGACIÓN MEDIANTE EL CONTRATO DE MANTENIMIENTO, YA QUE SE TIENE TAMBIÉN LA AMENAZA DE PERDIDA DE BANCA Y AFECTACIÓN DE LA VÍA, POR LO QUE ESTE INFORME SE LE DARÁ A CONOCER AL SUPERVISOR AUGUSTO RICO PARA QUE EVALÚE ESTA POSIBILIDAD. SE ESTABLECE EL COMPROMISO DE ESTAR ATENTOS AL CASO Y A ESTA GESTIÓN. 
MÁS TARDE SE REALIZA VISITA A LA SECRETARÍA DE PLANEACIÓN DE YOLOMBÓ Y SE DESARROLLA REUNIÓN INFORMATIVA CON EL FUNCIONARIO DARÍO EUSSE DE LA SECRETARÍA DE PLANEACIÓN, QUIEN DICE QUE NO CONOCE SOBRE ALGÚN PROCESO DE RE-UBICACIÓN. LA OPINIÓN DEL ING. JUAN FERNANDO FRANCO ES QUE NO ES CONVENIENTE INTERVENIR LA CASETA COMUNAL POR EL RIESGO EN EL QUE SE ENCUENTRA Y POR UBICARSE EN EL RETIRO DE LA QUEBRADA. EL ARQ. DARÍO EUSSE LO RESPALDA AFIRMANDO QUE LA CASETA COMUNAL NO PUEDE INTERVENIRSE NO SÓLO PORQUE NO CUMPLE CON EL RETIRO DE LA QUEBRADA Y DE LA VÍA SINO TAMBIÉN PORQUE EL MUNICIPIO NO ESTÁ AUTORIZADO POR LEY PARA INTERVENIR EN CASETAS COMUNALES. SE COMPROMETE A GENERAR OFICIO ANTE LA OFICINA DE GESTIÓN DEL RIESGO PARA REALIZAR VISITA TÉCNICA Y EVALUAR LA POSIBILIDAD DE DEMOLICIÓN. 
EL ING. JUAN FERNANDO FRANCO INFORMA SOBRE LA GESTIÓN QUE HARÁ PARA LA EJECUCIÓN DE OBRAS DE MITIGACIÓN PARA EVITAR EL PERJUICIO A LA VÍA Y RECUERDA QUE NO SE PUEDEN GENERAR CONDICIONES DE VIVIENDA EN ZONAS DE ALTO RIESGO. TAMBIÉN QUE LO MÁS IMPORTANTE Y PRIORITARIO ES LA DEMOLICIÓN DEL BAÑO DE LA CASETA COMUNAL, EL CUAL ES EL QUE PRESENTA TENDENCIA A DESPRENDERSE CON RIESGO DE OBSTRUIR EL CAUCE Y FLUJO DE LA QUEBRADA, LO CUAL PUEDE PRODUCIR FUERZAS HÍDRICAS MAYORES QUE AUMENTEN AÚN MÁS EL RIESGO DE AFECTACIÓN A LAS CONSTRUCCIONES, AL MISMO PUENTE O A LA VÍA.
19 septiembre 2014 : ENTREGA DE PQRS EN FORMATO FISICO
20 octubre 2014 : SE REMITE PQRS A ING. EDIER LOPEZ
24 octubre 2014 : ING. EDIER LOPEZ REMITE PQRS A ING. JUAN FERNANDO FRANCO 
Avance : Respuesta del Ing. Juan Fernando Franco:
Puente “El Hormiguero” Vía Porcesito-El Mango”.
El Departamento de Antioquia intervino, en el año de 2009, el puente sobre la quebrada Bareño, puente denominado “el Hormiguero”, localizado en el Km 5+850 de la vía “Porcesito- La Cortada- El Mango- Amalfi. 
Tipo de intervención:Ampliación del puente, recinte de estribos y aletas.
Contrato 2008-CO-20-062 Atención de la emergencia vial y puntos críticos de las vías con cargo del Departamento de Antioquia en las subregiones de Nordeste y Magdalena Medio.
Contratista: Consorcio Vial 08 Nordeste
Valor: $94.317.000
La intervención realizada fue la ampliación del puente hacia aguas arriba,que consistió en construir un par de pilas profundas coronadas por una viga cabeza para apoyar la ampliación del puente el cual pasó de 6.0 metros (Puente viejo sobre vigas de acero) a un puente de 9.20 m. Es decir se construyó un puente de 3.20 metros en vigas de concreto.
Además en esa oportunidad se hizo recinte o recalce de estribos y aletas.
En la situación actual, es posible observar que existe un proceso activo de desestabilización en la margen derecha hacia arriba que terminó por afectar la aleta en ese sector y consecuentemente la vivienda o edificación sobre ella, además existe un riesgo inminente para las viviendas localizadas en toda la margen derecha hacia aguas arriba del puente en el área de retiro tanto de la quebrada como de la vía veredal que allí se inicia.
Nota: La situación de riesgo, por inadecuada localización de las viviendas es un tema de competencia de la administración municipal de Yolombó, dado que la solución definitiva a los problemas de la comunidad allí asentada es la reubicación total de las viviendas.
Las afectaciones presentes o futuras se deben a la acción de los riesgos naturales que sufren las orillas de los ríos y quebradas, no aptas para localización de vivienda niotro tipo de infraestructura permanente.
14 noviembre 2014 : SE ENTREGA CARTA DE RESPUESTA AL CIUDADANO. 
Avance : EL CIUDADANO NO QUEDA SATISFECHO CON LA RESPUESTA, YA QUE LA ALETA IZQUIERDA DEL PUENTE, CEDIO LUEGO DE LA INTERVENCION REALIZADA POR PARTE DE LA SIF Y SEGÚN EL ES ESTO LO QUE TIENE EN RIESGO DE DERRUMBE A LA CASETA COMUNAL ALLI UBICADA. DE TODAS FORMAS, EL SOCIALIZARA DICHA RESPUESTA CON LA SECRETARIA DE PLANEACION DE LA ALCALDIA DE YOLOMBO.
</t>
  </si>
  <si>
    <t xml:space="preserve">05 septiembre 2014 : ENTREGA DE PQRS EN FORMATO FISICO
19 octubre 2014 : PQRS REMITIDA A JORGE FIDEL CASTRO 
Avance : Efectivamente la vía (05890VT95) Yolombó-Vereda La Cruz pertenece a la Red Vial Terciaria, por lo tanto a la jurisdicción municipal. 
Dada su jerarquía de tercer orden, corresponde a la "red compuesta por las vías de acceso que unen las cabeceras municipales con sus veredas o unen veredas entre si", y de acuerdo con la Ley 105/93 es una carretera distrital o municipal, o sea, "vías urbanas y/o rurales a cargo de los distritos o de los municipios".
Por lo tanto, a pesar de comunicar dos municipios, su jerarquia es terciaria y su competencia municipal, por lo cual no entraría a ser parte de la red vial secundaria.
Aclaración: 
Por el documento COMPES 2965 de 1997 se define: 
Red vial secundaria (o de segundo orden) se entiende la red compuesta por aquellas vías que unen cabeceras municipales entre si y/o son accesos a la red troncal y transversal(o de primer orden).
</t>
  </si>
  <si>
    <t xml:space="preserve">02 octubre 2014 : SE REALIZA VISITA PARA SEGUIMIENTO DE PQRS, SE PUEDE CONSTATAR QUE QUE LAS OBRAS DE CUNETA, BATEA Y PESTAÑAS ESTÁN ACORDES A LAS ESPECIFICACIONES TÉCNICAS, LA PELIFROSIDAD CONSISTE ES QUE LA SEÑORA NO UTILIZA LASS PESTAÑAS O ALETAS DE LA VÍA PARA SALIR DE SU PREDIO, SINO QUE SALE DE FRENTE OCASIONANDO EL PELIGRO MANIFESTADO PO ELLA MISMA.
18 febrero 2015 : SE REALIZA LLAMADA TELEFÓNICA A LA SEÑORA MARISOL JIMENEZ, QUIEN CONTESTA ES SU MAMA LA SEÑORA MARUJA ORTIZ VALDERRAMA, QUIEN MANIFIESTA QUE HASTA LA FECHA NO SE LE HA REPARADO LA CERCA QUITADA POR EL CONTRASTISTA, EN DONDE SE HACE DISPOSICIÓN FINAL DE MATERIALES.
20 noviembre 2014 : SE REALIZA RECORRIDO POR LA VÍA Y SE VERIFICA QUE POR PARTE DEL CONTRATISTA SE CORRIGE DAÑO EN LA VÍA, CON REPARCHEO DE DOBLE RIEGO. SE HABLA CON EL RESIDENTE DE LA OBRA EL SEÑOR UBUEIMAR ZAPATA ACERCA DEL DAÑO DE LA CERCA Y MANIFIESTA QUE AÚN NO SE HA REPARADO PORQUE LAS OBRAS AUN NO CONCLUYEN Y SE REQUIERE LA CERCA ABIERTA PARA CONTINUAR CON ESPACIO PARA DISPOSICIÓN DE MATERIALES SOBRANTES DE LA OBRA, CUANDO TODO TERMINE Y SE ENTREGUE LA OBRA SE REPARARÁ LA CERCA
</t>
  </si>
  <si>
    <t xml:space="preserve">13 febrero 2015 : SE REPORTA PQRS AL INGENIERO ANDRES MAURICIO RODRIGUEZ COLLAZOS, ARGUMENTA QUE SE EJECUTO UN MURO EN EL KILOMETRO 5 DONDE HABIA UNA FALLA GEOLOGICA, DESCONOCE UNA SITUACION SIMILAR EN EL KILOMETRO 4+800, LA PQRS ESTA ABIERTA PARA VERIFICAR SI SE TRATA DE LA MISMA SOLICITUD Y DE SU RESPECTIVA EJECUCION.
SE REPORTA PQRS AL INGENIERO ANDRES MAURICIO RODRIGUEZ COLLAZOS, ARGUMENTA QUE SE EJECUTO UN MURO EN EL KILOMETRO 5 DONDE HABIA UNA FALLA GEOLOGICA, DESCONOCE UNA SITUACION SIMILAR EN EL KILOMETRO 4+800, LA PQRS ESTA ABIERTA PARA VERIFICAR SI SE TRATA DE LA MISMA SOLICITUD Y DE SRESPECTIVA EJECUCION.
08 octubre 2014 : SE PROGRAMA VISITA TECNICA POR PARTE DEL INGENIERO SUPERVISOR MAURICIO RODRIGUEZ.
</t>
  </si>
  <si>
    <t xml:space="preserve">05 noviembre 2014 : SE RECIBEN OFICIOS Y SE REGISTRA EL CASO EN EL APLICATIVO
10 noviembre 2014 : FERNANDO CORTES REMITE CASO A ING. GABRIEL OLAYA DE LA SIF 
Avance : SE INFORMA POR MEDIO DE CORREO E. A LA SECRETARIA DE PLANEACION DE VEGACHI SOBRE DICHO TRAMITE.
03 diciembre 2014 : FIDEL CASTRO DISCUTE EL CASO CON LOS INGENIEROS LIBARDO AUGUSTO RICO, EDIER LOPEZ Y GABRIEL OLAYA. 
Avance : SE PROGRAMA VISITA TÉCNICA AL SITIO PARA LA SEGUNDA SEMANA DE DICIEMBRE POR PARTE DE LOS INGENIEROS GABRIEL OLAYA Y EDIER LOPEZ CON EL ACOMPAÑAMIENTO SOCIAL DEL GESTOR PARA EL NORDESTE SEBASTIAN FRANCO.
12 noviembre 2014 : INSPECCION DE PUNTO CRITICO Y LAGUNA POR PARTE DEL GESTOR SOCIAL 
Avance : SE COMPRUEBA QUE DICHO PUNTO CRITICO SE ENCUENTRA EN EL TRAMO QUE ESTA BAJO JURISDICCION DE LA SECRETARIA DE INFRAESTRUCTURA, A 1 KM DE LA CABECERA MUNICIPAL DE VEGACHI. LA INTERVENCION DEL INVIAS COMIENZA 10 KMS MAS ALLA DE DICHA CABECERA.
10 febrero 2015 : CARTA DE RESPUESTA PARCIAL FIRMADA POR EL DIRECTOR DE DESARROLLO FISICO 
Avance : Medellín, 04 de febrero de 2015.
Señora
ANA MARIA RENGIFO
Presidente Junta de Acción Comunal
Vereda Bélgica (Japón)
Teléfono 3122563574
Municipio de Vegachí
Asunto: Atención a PQR en la troncal Nordeste 62AN21-5 vía Vegachí - Remedios
Atendiendo su solicitud relacionada con el taponamiento de obra en la vereda Bélgica, sector el Japón del municipio de Vegachí, entre la cabecera municipal y el corregimiento El Tigre, realizamos visita técnica en el mes de diciembre de 2014, donde pudimos evidenciar el represamiento del agua que según su información era un arroyuelo que atravesaba la vía y que debido al taponamiento de la obra, se viene represando en la margen izquierda de la misma.
Le comunicamos que las obras necesarias para dar solución al problema en mención, serán ejecutadas en esta vigencia presupuestal.
Atentamente,
JULIAN DAVID SIERRA TAMAYO
Director Desarrollo Físico
Secretaría de Infraestructura Física.
29 enero 2015 : LLAMADA TELEFONICA A LOS INGENIEROS EDIER LOPEZ Y GLADYS HERNANDEZ 
Avance : EL INGENIERO EDIER LOPEZ INFORMA QUE ÉL YA RECIBIÓ EL INFORME POR PARTE DE LA INGENIERA GLADYS HERNANDEZ DE LA SITUACIÓN, PERO QUE EL CONTRATO DE MEJORAMIENTO Y MANTENIMIENTO YA NO CUENTA CON RECURSOS PARA INTERVENIRLA, POR LO QUE SE DEBE ESPERAR SI HABRA UN NUEVO CONTRATO DE INTERVENCION DE VIAS PARA LA SUBREGION O INDAGAR CON LA INGENIERA CLAUDIA BORREGO A VER SI CON EL CONTRATO QUE ELLA SUPERVISA SE PUEDE ATENDER ESTA PROBLEMÁTICA.
</t>
  </si>
  <si>
    <t xml:space="preserve">08 octubre 2014 : POR PARTE DE LA SIF SE REALIZÓ LA SEÑALIZACIÓN CON PINTURA EN LA VÍA A LA ALTURA DE LA INSTITUCIÓN EDUCATIVA, BUSCANDO RESPONDER A LA NECESIDAD DE LA COMUNIDAD EDUCATIVA, AHORA, ACTUALMENTE NO ES POSIBLE LA REALIZACIÓN DE RESALTOS DEBIDO A QUE LOS RECURSOS DEL CONTRATO SE HAN DISTRIBUIDO EN OTROS LUGARES DE LA REGIÓN DE ACUERDO A LA PROGRAMACIÓN ESTABLECIDA EN EL CONTRATO.
SE PROPONE QUE DESDE LA INSTITUCIÓN EDUCATIVA Y LA ALCALDÍA SE REALICEN ALTERNATIVAS DE CORRESPONSABILIDAD INSTITUCIONAL DONDE SE DESARROLLEN MECANISMOS PEDAGÓGICOS PARA LOS MOMENTOS DE TRANSITO DE LOS ESTUDIANTES (POR EJM. CAMPAÑAS CON ESTUDIANTES QUE ANUNCIAN EL PASO DE LOS DEMÁS ESTUDIANTES POR LA VÍA A LAS HORAS DE ENTRADA Y SALIDA, PARA QUE LOS CONDUCTORES CONOZCAN LA DINÁMICA DEL TRAMO DE VÍA Y TRANSITEN CON PRUDENCIA).
</t>
  </si>
  <si>
    <t xml:space="preserve">08 octubre 2014 : SE LE INFORMA A LA SEÑORA GLORIA PATRICIA OSORIO QUE EL DINERO LE FUE PRESTADO POR UN TERCERO QUE NO REPRESENTA LA EMPRESA PAVCOL, POR LO TANTO, DICHA EMPRESA NO SOLICITO EL DINERO, NI FIRMO LA SOLICITUD. 
SE LE RECOMIENDA DENUNCIAR FORMALMENTEAL SEÑOR YUBAN ALBERTO OCHOA CARDONA, ANTE LAS AUTORIDADES COMPETENTES, POR ESTAFA.
</t>
  </si>
  <si>
    <t xml:space="preserve">24 septiembre 2014 : SE REMITE PQRS A LA SIF 
Avance : REGISTRO EN EL APLICATIVO
29 octubre 2014 : SE REMITE A LA INGENIERA ELISABETH TRUJILLO Y INGENIERO HERNAN GOMEZ PARA REALIZAR VISITA TECNICA
19 febrero 2015 : DESDE LA SIF SE EMITÓ RESPUESTA POSITIVA A LA PQRS, DONDE SE INDICA QUE LOS TRABAJOS SE INICIARAN LO ANTES POSIBLE 
Avance : SE DEBE RADICAR LA RESPUESTA EN EL MUNICIPIO DE TITIRIBÍ.
16 febrero 2015 : EL SUPERVISOR DE LA SIF COMUNICA QUE EL PROXIMO MES SE INTERVENDRA LA VÍA 
Avance : EL ENCARGADO DE LAS PQRS ESTA ELABORANDO EL COMUNICADO FORMAL DE RESPUESTA PARA ENTREGAR AL SECRETARIO DE PLANEACION DEL MUNICIPIO
</t>
  </si>
  <si>
    <t xml:space="preserve">22 septiembre 2014 : INICIO
23 septiembre 2014 : SE REMITE PQRS A JUAN GONZALO DE PROYECTOS ESPECIALES.EL PUENTE NO ESTA EN INTERVENCIONES A SU CARGO, REMITIR PQRS A LA ALCALDIA MUNICIPAL QUIEN ES RESPONSABLE DE LA RED VIAL TERCIARIA
</t>
  </si>
  <si>
    <t xml:space="preserve">16 febrero 2015 : LA PAVIMENTACION ESTA PROGRAMADA PARA EL MES DE MARZO, SEGÚN EL INGENIERO HERNAN GIRALDO
07 octubre 2014 : SE ENVIA LA PQRS A LA SIF PARA SER ENTREGADA AL SUPERVISOR DE LA OBRA
</t>
  </si>
  <si>
    <t xml:space="preserve">05 octubre 2014 : REPORTE A LA SIF DEL CASO
06 octubre 2014 : DESPUES DE LA SOCIALIZACION CABLE SE VISITO CON JORGE MARIO AMBENTAL DE LA SIF 
Avance : A LA ESPERA DEL REPORTE
19 febrero 2015 : SE VISITÓ EL LUGAR Y SE ENCONTRÓ QUE HACE UNA SEMANA SE HIZO EL MANTENIMEINTO AL POO SEPTICO 
Avance : SE BEDERÁ ESTAR VIGILANTE QUE EL MANTEMIENTO SE HAGA PERIÓDICAMENTE
31 octubre 2014 : YA SE REALIZO VISITA PARA VERIFICAR EL ESTADO DE LOS POZOS, EL TEMA SERA ABORDADO EN EL PROXIMO COMITÉ DE OBRA
</t>
  </si>
  <si>
    <t xml:space="preserve">06 octubre 2014 : ENTREGA A LA SIF 
Avance : IENDO
16 febrero 2015 : Se le informa al Señor Horacio Mesa que el contrato del CTA fue para la realización de losPlanes viales subregionales participativos, en los cuales no se realizaban intervenciones de obra ni se proyectaban intervenciones en las mismas.
Así mismo se aclara que l Gobernación no está haciendo apertura de vías. 
Sobre el convite, se le recomienda realizar una solicitud formal por medio del alcalde, a la gobernación, para ser tenida en cuenta en la programación de convites del próximo año. 
Avance : LA CARTA DE RESPUESTA ESTA EN ELABORACION PARA SER ENTREGADA DE FORMA PRONTA
20 octubre 2014 : RESPUESTA ARGUMENTATIVA DEL SIF
</t>
  </si>
  <si>
    <t xml:space="preserve">09 enero 2015 : EL ALCALDEDEL MUNICIPIO REITERA LA URGENCIA DE REALIZAR LA SEÑALIZACION EN LA VIA
09 enero 2015 : EN REUNION CON EL SEÑOR ALCALDE PARA LA ENTREGA DE LOS PACTOS POR EL CUIDADO Y MANTENIMIENTO DE LA VIA REITERA NUEVAMENTE LA URGENCIA DE LAS SEÑALIZACIONES SOLICITADAS REITERADAMENTE EN OPORTUNIDADES PASADAS
17 febrero 2015 : SE REPORTA PQRS AL INGENIERO ANDRES MAURICIO RODRIGUEZ COLLAZOS, ARGUMENTA QUE SE EJECUTO UNICAMENTE SEÑALIZACION HORIZONTAL EN LA ZONA YA EN EL PRESUPUESTO DEL CONTRATO NO SE PERMITIA ATENDER MÁS GASTO, LA PQRS ESTÁ ABIERTA POR VERIFICAR SI SE CUBRIO LA TOTALIDAD DE LAS ZONAS SOLICITADAS.
13 octubre 2014 : SE REMITE A LA SIF
</t>
  </si>
  <si>
    <t xml:space="preserve">10 febrero 2015 : SE REPORTA PQRS A MARÍA KATHERINE ROA (INGENIERA APOYO DE LA DIRECCION DE DESARROLLO) QUIEN OPORTUNAMENTE SE COMUNICA CON EL SUPERVISOR ENCARGADO DE LA ZONA ORIENTEANDRES MAURICIO RODRIGUEZ, PROGRAMAN VISITA TÉCNICA PARA EVALUAR EL ESTADO DE LA VÍA EL DÍA JUEVES 19 DE FEBRERO, CONFORME A ESTO SE DARÁ RESPUESTA A LA SOLICITUD POR PARTE DE LA OFICINA DE PLANEACIÓN.
14 octubre 2014 : ENVIO DE INFORMACION A LA SIF
</t>
  </si>
  <si>
    <t xml:space="preserve">21 enero 2015 : SE REALIZA RECORRID CON EL SECRETARIO DE INFRAESTRUCTURA FISICA, QUIEN AUTORIZA LA CONSTRUCCION DE LOS REDUCTORES DE VELOCIDAD SOLICITADOS
17 febrero 2015 : SE REALIZA VISITA DE SEGUIMIENTO A LA PQRS Y SE PUEDE EVIDENCIAR LA CONTRUCCIÓN DE LOS REDUCTORES DE VELOCIDAD CON SU RESPECTIVA SEÑALIZACCIÓN, SE SUGIERE POR PARTE DEL SEÑOR HECTOR QUE SE RECOJAN LOS SOBRANTES DEL DOBLE RIEGO YA QUE NO CUMPLE CON LA MITIGACIÓN DEL PANTANO OCASINADO POR EL PASO DE LOS CABALLOS; SE LE COMUNICA AL INSPECTOR DE OBRA PARA QUE SEA RECOGIDO ESTE SOBRANTE, EL CUAL MANIFIIESTA QUE SE ENVIARA PERSONAL OPERTIVOO PARA QUE REALICE LA LIMPIEZA. SE CIERRA LA PQRS MEDIANTE ACTA FIRMADA POR EL DOCENTE Y SE TIENE REGGISTRO FOTOGRÁFICO
12 febrero 2015 : SE REALIZA LLAMADA TELEFONICA AL INSPECTOR DE OBRA WILSON MONSALVE, QUIEN COMUNICA QUE LOS REDUCTORES DE VELOCIDAD AUTORIZADS POR EL SECRETARIO DE LA S.I.F YA SE ENCUENTRAN EN EJECUCIÓN, SE SOLICITARA EVIDENCIA FOTOGRAFICA AL ING. RESIDENTE DE OBRA STIVE STEPHEN
</t>
  </si>
  <si>
    <t xml:space="preserve">17 febrero 2015 : SE REALIZA VISITA DE SEGUIMIENTO A LA PQRS DEL SEÑOR ROMAN Y SE PUEDE VERIFICAR QUE LA CONSTRUCCIÓN DE LOS 2RESALTOS SOLICITADOS YA ESTÁN CONSTRUÍDOS CON SU RESPECTIVA SEÑALIZACIÓN, EN RECORRIDO CON EL CON EL SECRETARIO DE LA S.I.F RAFAEL NANCLARES,SE HABÍA SOLICITADO APLICACIÓN DE DOBLE RIEGO AL ATRIO DE LA IGLESIA DE LA VEREDA LAS CRUCES, DURANTE LA VISITA SE PUDO VERIFICAR QUE YA SE APLICO EL DOBLE RIEGO. SE CIERRA PQRS PERO NO SE TIENE FIRMA DEL SEÑOR, YA QUE SE ENCONTRABA ENFERMO, SI EMBARGO ES EVIDENTE QUE SE CUMPLIÓ CON LO SOLICTADO. SE TIENE REGISTRO FOTOGRÁFICO
21 enero 2015 : SE REALIZA RECORRID CON EL SECRETARIO DE INFRAESTRUCTURA FISICA, QUIEN AUTORIZA LA CONSTRUCCION DE LOS REDUCTORES DE VELOCIDAD SOLICITADOS
</t>
  </si>
  <si>
    <t xml:space="preserve">17 febrero 2015 : SE REALIZA VISITA AL SEÑOR RODRIGO, Y SE PUEDE VERIFICAR, QUE CON LA APLICACIÓN DEL DOBLE RIEGO LA VÍA SUBE ALGUNOS CENTIMMETROS ARRIBA DE LA CUNETA, LA CUAL PIERDE SU OBJETIVIDAD, DEJANDO QUE EL AGUA CORRA POR LA VÍA Y LLEGUE HASTA LA CASA DEL SEÑOR RODRIGO INUNDANDO SU CASA, SE HABLA CON EL INSPECTOR DE OBRA DE LA VÍA CHORODÓ - FRONTINO Y MANIFIESTA QUE EN ESTA PARTE DE LA VÍA SE CONSTRUIRÁ UN MURO CORDÓN PARA EVITAR QUE LAS AGUAS INUNDEN LOS PREDIOS DEL SEÑOR.
</t>
  </si>
  <si>
    <t xml:space="preserve">17 febrero 2015 : SE REALIZA VISITA DE SEGUIMIENTO A LA PQRS, DONDE SE PUEDE VERIFICAR QUE LA VÍA EN SU MARGEN IZQUIERDA SE ENCUENTRA UN CANAL EN CONCRETO "CARCAMO" SIN TAPA SEGÚN DISEÑO, LOS CUALES RECOGEN LAS AGUAS DE ESCORRENTÍA DE LA LADERA SOBRE LA MISMA MARGEN Y LA TRANSPORTA HACIA UNA BOX COULVER LOCALIZADA A UNOS 40 MTS DESPUÉS DEL PREDIO DEL SEÑOR, EL DESCOLE DE LA OBRA SE ENCUENTRA SOBRE LA MARGEN DERECHA DE LA VÍA, LA CUAL SE ENCUENTRA CONFORMADA EN ESA MARGEN POR UN MURO EN CONCRETO EL CUAL TIENE UNA SALIDA DE AGUA QUE CAE SOBRE LA VÍA. LO QUE SOLICITA EL SEÑOOR ES QUE SE RECOJAN O ENCAUSEN LAS AGUAS DEL LADO IZQUIERDO PROPIEDAD DEL LOTE CONTIGUO, Y ADICONALMENTE DESTAPAR UNA OBRA, QUE SEGÚN SU RELATO TIENE MAS DE 50 AÑOS DE EXISTENCIA APROXIMADAMENTE. EL PREDIO SE LOCALIZA EN LA ABSCISA 4+900
POR OTRO LADO, SE ARREGLO DAÑO DE MANGUERA QUE SE ROMPIÓ CON LA MAQUINARIA Y SE REPUSO MEDIANTE LA INSTALACIÓN DE TUBERÍA SANITARIA DE 2 PULGADAS Y SE REPONDRÁ ALAMBRADO CON ALAMBRE DE PUAS DAÑADO DURANTE EL TRABAJO.
</t>
  </si>
  <si>
    <t xml:space="preserve">05 enero 2015 : MEDIANTE LLAMADA TELEFONICA AL SEÑOR ARCESIO, MANIFIESTA QUE LA VIA FUE HABILITADA DESDE EL PASADO 15 DE DICIEMBRE 
Avance : HABILITCION DE LA VIA
04 diciembre 2014 : MEDIANTE RECORRIDO DE CONTROL SOCIAL EN LA VIA LA CEJA-GUAICO GRANDE-ABEJORRAL, SE REALIZA REUNIÓN CON EL ENCARGADO DE LA OBRA DE PLACA HUELLAS, QUE TIENE CERRADA LA VIA, EL ENCARGADO DE LA OBRA LE INDICA A LOS DELEGADOS DE LA COMUNIDAD, QUE LA VIA SE HABILITARÁ PARA EL PROXIMO 18 DE DICIEMBRE, PIDE DISCULPAS POR NO HABER SOCIALIZADO LOS TRABAJOS QUE SE HARÍAN EN LA VIA, A LA COMUNIDAD DE ABEJORRAL QUE ES LA MAS AFECTADA 
Avance : SE ESTABLECE QUE LOS TRABAJOS EN LA VIA ESTAN A CARGO DE INGEVIAS DE COLOMBIA Y NO EPM,TAMBIEN SE ESTABLECE QUE INICIALMENTE SE SOCIALIZO LA INTERVENCION A LA SECRETARIA DE PLANEACION DE LA CEJA Y SE HIZO SOCIALIZACION CON LA COMUNIDAD DE LA VEREDA DE PIEDRAS, DONDE ESTA UBICADA LA INTERVENCION, PERO NO SE INFORMO AL MUNICIPIO DE ABEJORRAL NI SE SOCIALIZO CON LAS 9 VEREDAS QUE FUERON AFECTADAS DIRECTAMENTE
20 octubre 2014 : SE REMITE A LA SIF
</t>
  </si>
  <si>
    <t xml:space="preserve">23 octubre 2014 : INICIO
09 noviembre 2014 : AVANCE 
Avance : LA INGENIERA MARIA DEL ROSARIO PALACIO,ENVÍA CORREO INFORMANDO: QUE NO HABIA SID POSIBLE CUMPLIR EL COMPROMISO YA QUE LA MAQUINARIA NO ES DEL CONTRATO QUE SE ESTA EJECUTANDO SINO DE OTRO CONTRATO, LAS ACTIVIDADES LAS INICIARÁN EL PRÓXIMO LUNES 10 DE NOVIEMBRE DE 2014, CABE ACLARAR QUE NO SE TIENEN RECURSOS PARA COLOCAR AFIRMADO, SOLO SE CONFORMARA Y SE COMPACTARA,ADEMAS SE AMPLIARA EL BOX, A LA FECHA NO TENGO UNA FECHA EXACTA DE INICIO DE DICHA ACTIVIDAD PERO CONSTRUIRA DICHA AMPLIACION CON CARGO A ESTE CONTRATO, COMO LO HABIAMOS ANUNCIADO EN LA REUNION DE SOCIALIZACION, SE ENVIA CORREO A LA SECRETARIA DE PLANEACION DE ARBOLETES, A LOS SEÑORES DAVID FLORES Y EDUARDO ESTRADA, SECRETARIO DE PLANEACION DE LA LOCALIDAD.
02 febrero 2015 : SE REPORTA LA PQRS A LA INGENIERA MARIA DEL ROSARIO, ACLARA QUE SI SE HISO EL COMPROMISO EN LA SOCIALIZACION, SE HISO MANTENIMIENTO A LOS 5 KILOMETROS DEL CONTRATO DE MAQUINARIA CON RENTANY EN CUANTO AL BOX COULVERT SE TIENE PROGRAMADA Y PRESUPUESTADA SU EJECUCIÓN A LA ESPERA DE LOS DISEÑOS POR PARTE DEL CONTRATISTA 8CONSORCIO ANTIOQUIA VIAL 022)
</t>
  </si>
  <si>
    <t xml:space="preserve">31 octubre 2014 : SE REALIZA LLAMADA TELEFÓNICA AL SEÑOR DUMAR PARA CONFORMAR SI SE TINEN LOS RESPECTIVOS SOPORTES DE LAS FACTURAS, MANIFESTANDO QUE LOS AFECTADOS AÚNN NO LLEVAN LAS AVIDENCIAS.
29 octubre 2014 : SE REALIZA LLAMADA TELEFÓNICA A LA DIRECTORA DE LA INTERVENTORÍA LA INGENIERA ALBA LUZ NANCLARES A QUEIN SE LE EXPONE LA PQRS, LA ING.MANIFIESTA QUE SE DEBEN ANEXAR FACTURAS DE LAS CUANTAS SIN CANCELAR DEL SEÑOR JUAN GUILLERMO LOPEZ, ANTES DE QUE SEA LIQUIADA SU NÓMINA, YA QUE ÉSTE ES DESPEDIDO DE SU CARGO.ESTO SE LE HACE SABER AL SECRETAARIO DE PLANEACIÓN EL SEÑOR DUMAR, QUIEN REALIZARÁ LA ACCIÓN PERTINENTE PARA ESTE CASO.
</t>
  </si>
  <si>
    <t xml:space="preserve">31 octubre 2014 : INICIO DEL TRAMITE, VIA CORREO ELECTRONICO DEL OFICIO ADJUNTO A LA PQRS, ENVIADO A FERNANDO CORTES, ROSARIO PALACIO Y HENRY VERGA. 
Avance : NOTIFICACION DE LA PQRS.
03 diciembre 2014 : El Ingeniero Henry Vergara ya entregó el diagnóstico de la patología del puente, el cual queda pendiente para fecha de intervención.
13 noviembre 2014 : SE REALIZO LA REMOCION DE LA EMPALIZADA, EL SECRETARIO DE PLANEACION PITERSON TRELLEZ DICE QUE TODAVIA NO CONOCE EL RESULTADO DE LA PATOLOGIA Y EXPRESA QUE VA A ENVIAR OFICIO SOLICITANDOLO PARA SOCIALIZARLO CON LA COMUNIDAD, NARRA QUE EL INGENIERO HENRY VERGARA LE DICE QUE EL PUENTE ES RECUPERABLE Y EN QUINCE DIAS SE INICIAN OBRAS PARA LA RECUPERACION, QUE ADICIONALMENTE QUEDO DE SUMINISTRAR INFORMACION PARA RESTRINGIR EL TONELAJE DEL PUENTE.DEJA CLARO QUE LAS DECISIONES QUE SE TOMEN A PARTIR DE LOS RESULTADOS DE LA PATOLOGIA SON RESPONSABILIDAD DE LA GOBERNACION.
12 febrero 2015 : SE REPORTA LA PQRS AL INGENIERO JUAN FERNANDO FRANCO URIBE, INFORMA QUE LA INTERVENCION ESTA INCLUIDA EN EL CONTRATO A PUENTES CON PRONTA INICIACION QUE DEPENDE DE LA PROGRAMACION FISICA FINANCIERA Y LOS RESULTADOS DEL ESTUDIO DE PATOLOGIAS DEL PUENTE, INFORMA TAMBIEN, QUE SE ENVIO UN OFICIO CON RESPUESTA DE LA SOLICITUD AL ALCALDE (15/12/2014) LA PQRS ESTA EN TRAMITE A LA ESPERA DE VERIFICAR EL ACUERDO ENTRE LAS PARTES
</t>
  </si>
  <si>
    <t xml:space="preserve">22 noviembre 2014 : REUNION EXPLICATIVA EN EL INMEDIATO
09 diciembre 2014 : SE PROGRAMA SOCIALIZACION AVANCE PARA 20/12/2014
19 diciembre 2014 : SOCIALIZACION AVANCE DE OBRA 
Avance : SE INFORMA SOBRE EL PROCESO DE INTERVENCION DE LA VIA, ALCANCES Y ACTIVIDADES QUE FALTAN POR EJECUTAR. EL CIUDADANO Y LA COMUNIDAD EXPRESAN SATISFACCION POR LO QUE SE HA HECHO Y SE ACLARAN LAS DUDAS E INCONFORMIDADES. ASI SE DA POR CERRADA LA PQRS, CON FIRMA DEL CIUDADANO EN EL FORMATO FISICO. ORIGINAL.
</t>
  </si>
  <si>
    <t xml:space="preserve">20 febrero 2015 : RESUELTO VER DETALLE PQRS 8021
21 noviembre 2014 : ENTREGA PQRS A CAP ENVIARSE A SIF
</t>
  </si>
  <si>
    <t xml:space="preserve">24 noviembre 2014 : ENTREGA DE FORMATO DE PQRS Y COPIA AL SIF
20 noviembre 2014 : RECIBO DE SOLICITUD
02 diciembre 2014 : SE ENTREGÓ VÍA MAIL INFORMACION REQUERIDA 
Avance : SE ACEPTA LA INFORMACION RECIBIDA
</t>
  </si>
  <si>
    <t xml:space="preserve">15 diciembre 2014 : REPORTE DE PQRS EN APLICATIVO
</t>
  </si>
  <si>
    <t xml:space="preserve">10 febrero 2015 : COMUNICACIÓN TELEFONICA DEL GESTOR DE PQRS CON LA GESTORA SOCIAL DE INTERVENTORIA AMALIA OTERO 
Avance : Se comunica telefónicamente con la señora Amalia (Gestora Social de la Interventoría), Correo Proyectonordeste@interpro.com.co, Celular: 3115088057, dice que están solicitando cuenta de cobro por parte Jairo Monsalve y estará pasando por dicha cuenta el día de hoy (10/02/2015), la señora responderá correo con información adicional de la solicitud.
27 enero 2015 : REPORTE DE PQRS EN APLICATIVO
06 febrero 2015 : SE REPORTA PQRS A LA SUPERVISORA CLAUDIA ANDREA BORREGO GARCIA 
Avance : LA SUPERVISORA CLAUDIA BORREGO RECOMIENDA: Adjuntar material que evidencia la ejecución de las obras de reparación en la tubería, documentación o alguna constancia donde se llegó al acuerdo con la Junta de Acción Comunal e incluir en la información la fecha de ejecución;Así mismo la solicitud se encuentra en trámite y la ingeniera se estará comunicando con la residencia de interventoría para verificar la información y dar respuesta a la solicitud.
</t>
  </si>
  <si>
    <t xml:space="preserve">27 enero 2015 : REPORTE DE PQRS EN APLICATIVO
10 febrero 2015 : COMUNICACIÓN TELEFONICA DEL GESTOR DE PQRS CON LA GESTORA SOCIAL DE INTERVENTORIA AMALIA OTERO 
Avance : Dice que se están haciendo observaciones y chequeos en las visitas proponiendo reductores de velocidad, la respuesta de la petición depende ahora de la gestión por parte de la supervisora. La señora Amalia responderá correo con información adicional de la solicitud.
06 febrero 2015 : SE REPORTA PQRS A LA SUPERVISORA CLAUDIA ANDREA BORREGO GARCIA 
Avance : La solicitud se encuentra en trámite a la espera de realizar una visita que permita aclarar la forma y posibilidad de resolver la situación en caso de ser necesaria una intervención.
</t>
  </si>
  <si>
    <t xml:space="preserve">06 febrero 2015 : SE REPORTA PQRS A LA SUPERVISORA CLAUDIA ANDREA BORREGO GARCIA 
Avance : La solicitud se encuentra en trámite a la espera de verificar la obra y el drenaje en una visita, la ingeniera se estará comunicando con la residencia de interventoría para dar respuesta a la solicitud.
27 enero 2015 : REPORTE DE PQRS EN APLICATIVO
10 febrero 2015 : COMUNICACIÓN TELEFONICA DEL GESTOR DE PQRS CON LA GESTORA SOCIAL DE INTERVENTORIA AMALIA OTERO 
Avance : La señora Amalia responderá correo con información adicional de la solicitud.
</t>
  </si>
  <si>
    <t xml:space="preserve">06 febrero 2015 : SE REPORTA PQRS A LA SUPERVISORA CLAUDIA ANDREA BORREGO GARCIA 
Avance : La solicitud se encuentra en trámite a la espera de la información que suministrará el contratista tanto del listado de empleados y su respectiva vinculación para su comprobación.
10 febrero 2015 : OMUNICACIÓN TELEFONICA DEL GESTOR DE PQRS CON LA GESTORA SOCIAL DE INTERVENTORIA AMALIA OTERO 
Avance : Dice que la petición fue atendida directamente por el gestor social en la zona Sebastián Franco. La señora Amalia responderá correo con información adicional de la solicitud.
27 enero 2015 : REPORTE DE PQRS EN APLICATIVO
</t>
  </si>
  <si>
    <t xml:space="preserve">09 febrero 2015 : SE REALIZA VISITA DE SEGUIMIENTO DE LA PQRS, DONDE SE PUEDE CONSTATAR QUE SE HAN REALIZADO LOS CORRECTIVOS PERTINENTES POR PARTE DEL CONTRATISTA, ADEMÁS SE REALIZA SOCIALIZACIÓN INFORMATIVA CON EL ALCALDE Y SECRETARIO DE PLANEACIÓN Y COMUNIDAD CON LOS INGENIERO DE LA S.I.F , ING. HENRRY VERGARA, ALVARO RIOS YALEJANDRO GÓMEZ ESPECIALISTA EN MANEJO DE ESTABILIZACIÓN QUÍMICA, PARA DAR DETALLES TANTO DE LA ESTABILIZACIÓN QUÍMICA COMO DE LA PROPUESTA QUE REEMPLAZARÁ EL DOBLE RIEGO, ÉSTE SE CAMBARÁ POR ADOQUINES REFORZADOS, EL CUAL GENERARÁ MENOS TRUMATISMO PARA EL MUNICIPIO POR CIERRE DE LA ÚNICA VÍA DE ACCESO CON QUE CUENTA EL MUNICIPIO. DE ESTA FORMA SE CIERRA LA PQRS
</t>
  </si>
  <si>
    <t xml:space="preserve">17 febrero 2015 : SE ENVIA CORREO ELECTRONICO A LAS 11:10 A.M. CON REGISTRO FOTOGRAFICO DE ANTES Y DESPUÉS DONDE SE EVIDENCIA RECUPERACION DE LA VÍA CON MURO DE CONSTRUCCION CONSTRUIDO SOBRE PILAS 
Avance : NOTIFICACION DE CIERRE POR CORREO ELECTRONICO
17 febrero 2015 : EL GESTOR DE PQRS DANIEL MIRANDA REPORTA CIERRE DE PQRS ANEXANDO REGISTRO FOTOGRAFICO 
Avance : CIERRE DE LA PQRS
20 octubre 2014 : ING- MARGARITA SOLICITA REMITIR PQRS A SUPERVISORA DEL CONTRATO DE OCCIDENTE:ING. ROSARIO PALACIO. 
Avance : TRASLADADA A OCCIDENTE
17 febrero 2015 : SE LLAMA AL SECRETARIO DE PLANEACION DEL MUNICIPIO DE SAN PEDRO DE LOS MILAGROS A LAS 10:30 A.M.Y SE INFORMA DE LA CONSTRUCCION DEL MURO DE CONTENCION Y CIERRE DE LA PETICIÓN. SOLICITA ENVIAR AL CORREO ELECTRONICO REGISTRO FOTOGRAFICO PARA EL PRESENTAR OFICIO AL ALCALDE 
Avance : NOTIFICACION DE CIERRE VIA TELEFONICA AL SECRETARIO DE PLANEACION DE SAN PEDRO DE LOS MILAGROS
14 enero 2015 :
Avance : EN REGISTRO FOTOGRAFICO SE EVIDENCIA VACIADO DE CONCRETO PARA MURO DE CONTENCION EN PILAS KM 33+100 VIA SAN JERONIMO - POLEAL
29 septiembre 2014 : INGRESO AL SISTEMA. SOLICITUD A LA SECRETARIA QUE EVALUE LA POSIBILIDAD DE INTERVENIR EL PUNTO 
Avance : Se entrega copia de la c
SE ENTREGA COPIA DE LA CARTA RADICADA EN LA SIF Y COPIA DEL INFORME TECNICO ENVIADO
19 noviembre 2014 :
Avance : EN REGISTRO FOTOGRAFICO SE EVIDENCIA CONSTRUCCION DE PILAS KM 33+100 VÍA SAN JERONIMO POLEAL
</t>
  </si>
  <si>
    <t xml:space="preserve">12 febrero 2015 : SE ENVIA CORREO CON EVIDENCIAS DEL PROCEDIMIENTO DE INFORMACION DE CIERRE DE VIA A LA SECRETARIA DE GOBIERNO DEL MUNICIPIO DE SAN PEDRO DE URABA ALEJANDRA GONZALEZ
05 febrero 2015 : SE RECIBE LA QUEJA POR PARTE DE LA ALCALDESA ENCARGADA.
10 febrero 2015 : LA SUPERVISORA MARIA DEL ROSARIO PALACIO SANCHEZ ENCARGADA DE LA ZONA DE URABA, SE ENCONTRABA EN CAMPO Y POR MEDIO TELEFONICO A TRAVES DE GLORIA ROBLEDO (FUNCIONARIA DE LA PARTE AMBIENTAL), COMENTA QUE LA VIA FUE CERRADA POR COLOCACION DE TUBERIAS EN TRANSVERSALES Y SE AVISO PREVIAMENTE CON UNA CIRCULAR, LA PQRS SE PRETENDE RESPONDER EL DIA JUEVES (1202 2015) CON EL VISTO BUENO DE A SUPERVISORA
</t>
  </si>
  <si>
    <t xml:space="preserve">16 febrero 2015 : INGRESO AL APLICATIVO
</t>
  </si>
  <si>
    <t xml:space="preserve">16 febrero 2015 : INGRESO DE PQRS AL APLICATIVO
</t>
  </si>
  <si>
    <t xml:space="preserve">20 febrero 2015 : EL INGENIERO DE LA CORPORACION ANTIOQUIA PRESENTE HIZO PRESENCIA EN EL LUGAR, PARA ACOMPAÑAR LOS DETALLES DE LA QUEJA DESDE EL PUNTO DE VISTA TECNICO 
Avance : UNA VEZ SE RECIBA REPORTE DEL TECNICO SE INGRSARA AL APLICATIVO PARA QUE EL SUPERVISOR DE LA SIF TENGA MAS DETALLES DE LA QUEJA Y PROCEDA A DARLE PRONTA RESPUESTA.
16 febrero 2015 : INGRESO AL APLICATIVO 
Avance : NINGUNO
</t>
  </si>
  <si>
    <t>07 enero 2015 : REUNION CON LA INTERVENTORIA PARA VERIFICAR COMO VA EL PROCESODE LA PQRS</t>
  </si>
  <si>
    <t xml:space="preserve">19 enero 2015 : INGRESO DE PQRS AL APLICATIVO, SE INFORMO VERBALMENTE AL SUPERVISOR HERNAN GIRALDO SOBRE LA QUEJA Y SEGÚN ESTE, LOS RESALTOS LOS DEBEN DE SOLICITAR A LA SECRETARIA DE TRANSITO DEL MUNICIPIO DE HISPANIA, PUESTO QUE LA GOBERNACION YA INSTALO LA SEÑALIZACION HORIZONTAL Y VERTICAL RESPECTIVA
</t>
  </si>
  <si>
    <t>06 agosto 2014 : LLAMADA A LA IING AMBIENTAL DE LA SIF A CARGO, ELIZABETH TRUJILLO, PARA SOLICITAR INFORMACION DEL CASO 
Avance : SE PROGRAMA REUNION PARA EL 11 DE AGOSTO EN LA SIF PARA HABLAR DEL TEMA
16 febrero 2015 : DE CUERDO A LA INFORMACION REPORTADA POR EL SUPERVISDOR DEL SUROESTE, A ESTA ZONA NO SE LE INVERTIRÁ MAS DINERO. 
Avance : SE ESTA A LA ESPERA QUE OFICIALICE LA RESPUESTA.
17 julio 2014 : VISITA AL SECTOR POR PARTE DEL CONTRATISTA 
Avance : SE ESTA A LA ESPERA DEL REPORTE
03 julio 2014 : ENTREGA DE LA PQRS AL SUPERVISOR DE LA SIF Y A LA INTERVENTORIA 
Avance : SE RECIBIO LA PQRS Y SE HABLO DE LA PRONTA PROGRAMACION DE UN RECORRIDO PARA INSPECCIONAR EL TEMA</t>
  </si>
  <si>
    <t>25 julio 2014 : SE COMPARTIO CASO CON EL CONTRATISTA DIRECTAMENTE 
Avance : A LA ESPERA DE TRAMITE LEGAL
06 agosto 2014 : LLAMADA A LA ING AMBIENTAL DE LA SIF A CARGO, ELIZABETH TRUJILLO, PARA SOLICITAR INFORMACION DEL CASO 
Avance : LLAMADA A LA IING AMBIENTAL DE LA SIF A CARGO, ELIZABETH TRUJILLO, PARA SOLICITAR INFORMACION DEL CASO
16 febrero 2015 : SE INDAGÓ SOBRE EL TEMAAL SUPERVISOR Y DICE QUE ESO ESTA EN MANOS DEL CONTRATISTA 
Avance : EN LA REUNIÓNDE LA ULTIMA SEMANA DE FEBRERO SE INDAGARÁ POR ESTE TEMA.
24 julio 2014 : ENCUENTRO CON PERSONA ACCIDENTA E INSPECTOR DE TRANSITO 
Avance : SE TOMO PQRS COMPLETA Y SE RECIBIO REGISTRO FOTOGRAFICO
23 julio 2014 : VISITA A LA ZONA DEL ACCIDENTE Y DIALOGO CONPERSONAL DE LA OBRA 
Avance : EN LA ACTUALIDAD LA ZONA DE TRABAJO ESTA SEÑALIZADA</t>
  </si>
  <si>
    <t>28 julio 2014 : ENTREGA A LA SIF DE LA PQRS 
Avance : ESTUDIO DE LA PQRS PARA RESOLVER INQUIETUD EN LA REUNION DEL 6 DE AGOSTO
06 agosto 2014 : LLAMADA A LA ING AMBIENTAL DE LA SIF A CARGO, ELIZABETH TRUJILLO, PARA SOLICITAR INFORMACION DEL CASO 
Avance : SE PROGRAMA REUNION PARA EL 11 DE AGOSTO EN LA SIF PARA HABLAR DEL TEMA</t>
  </si>
  <si>
    <t>16 febrero 2015 : EL SUPERVISOR DICE QUE AÚN NO TIENE CLARO LA DESTINACION DE LOS RECURSOS DE ESTE AÑO, PERO QUE CREE NO ALCANZA PARA ESTE TIPO DE AYUDAS. 
Avance : UNA VEZ SE TENGA LA DESTINACION CONCRETA DE LOS RECURSOS 2015, SE PROCEDE A DAR RESPUESTA AL ALCALDE
06 agosto 2014 : LLAMADA A LA ING AMBIENTAL DE LA SIF A CARGO, ELIZABETH TRUJILLO, PARA SOLICITAR INFORMACION DEL CASO 
Avance : SE PROGRAMA REUNION PARA EL 11 DE AGOSTO EN LA SIF PARA HABLAR DEL TEMA
28 julio 2014 : ENTREGA DE PQR A LA SIF 
Avance : ESTUDIO DE LA PQRS</t>
  </si>
  <si>
    <t>06 agosto 2014 : LLAMADA A LA ING AMBIENTAL DE LA SIF A CARGO, ELIZABETH TRUJILLO, PARA SOLICITAR INFORMACION DEL CASO 
Avance : SE PROGRAMA REUNION PARA EL 11 DE AGOSTO EN LA SIF PARA HABLAR DEL TEMA
24 julio 2014 : RECORRIDO POR EL SECTOR 
Avance : SE ENTREGA CASO AL INTERVENTOR DE OBRA
16 febrero 2015 : EL SUPERVISOR DE LA SIF PARA EL SUROESTE, COMENTA QUE SE ESTA A LA ESPERA DE LA DESTINACION QUE SE LE DARÁ A LOS RECURSOS DE ESTE AÑO 
Avance : SE ESTA VIGILANTE PARA ENTREGAR RESPUESTA A LA SECRETARIA DE PLANEACION, QUIEN MANIFIESTA COMPRENDER LA RAZON PARA QUE A LA FECHA NO SE LE ENTREGUE REPUESTA DE LA SOLICITUD.
28 julio 2014 : ENTREGA DE LA PQRS A LA SIF 
Avance : ESTUDIOS DE LA PQRS</t>
  </si>
  <si>
    <t>19 agosto 2014 : ENTREGA DE LA PQRS A LA SIF 
Avance : REPORTE EN EL APLICATIVO
16 febrero 2015 : EL SUPERVISOR DE LA SIF PARA EL SUROESTE, SOLICITUD AL CONTRATISTA REVISAR EL TEMA 
Avance : SE ESTA A LA ESPERA QUE EL CONTRATISTA ENTRGUE EL REPORTE</t>
  </si>
  <si>
    <r>
      <rPr>
        <b/>
        <sz val="8"/>
        <color theme="1"/>
        <rFont val="Calibri"/>
        <family val="2"/>
        <scheme val="minor"/>
      </rPr>
      <t>Trámite 1: 25 de Febrero 2015</t>
    </r>
    <r>
      <rPr>
        <sz val="8"/>
        <color theme="1"/>
        <rFont val="Calibri"/>
        <family val="2"/>
        <scheme val="minor"/>
      </rPr>
      <t xml:space="preserve">
ESTE DIA SE RECIBE UNA LLAMADA DEL SEÑOR JOSE RODRIGO VASQUEZ ZULUAGA QUIEN SE COMPROMETE A  ENTREGAR LA INFORMACION  COMPLETA DE LA PERSONA QUE LO CONTRATO PARA PODER CONTINUAR CON UNA RESPUESTA PERTINENTE  A LA PQRS  ( Recuerda que ésta PQRS aún no se ha resuelto)</t>
    </r>
  </si>
  <si>
    <t>A espera de que  se realicen los arreglos a los inmuebles</t>
  </si>
  <si>
    <r>
      <rPr>
        <b/>
        <sz val="8"/>
        <color theme="1"/>
        <rFont val="Calibri"/>
        <family val="2"/>
        <scheme val="minor"/>
      </rPr>
      <t>Trámite 1: 17 de Febrero 2015</t>
    </r>
    <r>
      <rPr>
        <sz val="8"/>
        <color theme="1"/>
        <rFont val="Calibri"/>
        <family val="2"/>
        <scheme val="minor"/>
      </rPr>
      <t xml:space="preserve">
Información suministrada por la Trabajadora Social por correo electrónico: A espera de que  se realicen los arreglos a los inmuebles
</t>
    </r>
  </si>
  <si>
    <t>14 julio 2014 : LLAMADA TELEFONICA AL SECRETARIO DE PLANEACION DEL MUNICIPIO DE ABEJORRAL 
Avance : MANIFIESTA, QUE EL CONTRATISTA INFORMA A LA ADMINISTRACION MUNICIPAL CUANDO SE VAN A REALIZAR CIERRES DE LA VIA, Y A SU VEZ LA INFORMACION ES TRANSMITIDA POR RADIO SANTA BARBARA, ADEMAS TIENEN PERSONAL EN LA VIA QUE INFORMA DEL CIERRE</t>
  </si>
  <si>
    <t>08 octubre 2014 : LA ATENCION DADA A ESTA VIA SE REALIZO DE ACUERDO A LA PROGRAMACION Y CONSISTIO EN UN MANTENIMIENTO RUTINARIO, SIN EMBARGO, SE HARA UNA VISITA TECNICA POR PARTE DEL INGENIERO SUPERVISOR MAURICIO RODRIGUEZ, AL PUNTO PARA EVALUARLO.</t>
  </si>
  <si>
    <r>
      <rPr>
        <b/>
        <sz val="8"/>
        <color theme="1"/>
        <rFont val="Calibri"/>
        <family val="2"/>
        <scheme val="minor"/>
      </rPr>
      <t xml:space="preserve">Trámite 2: 26 de Febrero 2015 </t>
    </r>
    <r>
      <rPr>
        <sz val="8"/>
        <color theme="1"/>
        <rFont val="Calibri"/>
        <family val="2"/>
        <scheme val="minor"/>
      </rPr>
      <t xml:space="preserve">
Se socializa la PQRS y decide enviar correo a la interventoría, con el permiso del supervisor Andrés Mauricio Rodríguez Collazos para verificar el estado de la PQRS, en el caso específico verificar si el punto en solicitud es uno de los puntos críticos intervenidos.
</t>
    </r>
  </si>
  <si>
    <r>
      <rPr>
        <b/>
        <sz val="8"/>
        <color theme="1"/>
        <rFont val="Calibri"/>
        <family val="2"/>
        <scheme val="minor"/>
      </rPr>
      <t xml:space="preserve">
Trámite 1: 26 de Febrero 2015 </t>
    </r>
    <r>
      <rPr>
        <sz val="8"/>
        <color theme="1"/>
        <rFont val="Calibri"/>
        <family val="2"/>
        <scheme val="minor"/>
      </rPr>
      <t xml:space="preserve">
Se socializa la PQRS y decide enviar correo a la interventoría, con el permiso del supervisor Andrés Mauricio Rodríguez Collazos para verificar el estado de la PQRS, Se envía Excel con listado de PQRS, con la siguiente observación:
Detallar la intervención en el punto.
</t>
    </r>
  </si>
  <si>
    <r>
      <rPr>
        <b/>
        <sz val="8"/>
        <color theme="1"/>
        <rFont val="Calibri"/>
        <family val="2"/>
        <scheme val="minor"/>
      </rPr>
      <t xml:space="preserve">Trámite 1: 26 de Febrero 2015 </t>
    </r>
    <r>
      <rPr>
        <sz val="8"/>
        <color theme="1"/>
        <rFont val="Calibri"/>
        <family val="2"/>
        <scheme val="minor"/>
      </rPr>
      <t xml:space="preserve">
Se socializa la PQRS y decide enviar correo a la interventoría, con el permiso del supervisor Andrés Mauricio Rodríguez Collazos para verificar el estado de la PQRS, Se envía Excel con listado de PQRS, con la siguiente observación:
Detallar la intervención en la zona escolar.
</t>
    </r>
  </si>
  <si>
    <r>
      <rPr>
        <b/>
        <sz val="8"/>
        <color theme="1"/>
        <rFont val="Calibri"/>
        <family val="2"/>
        <scheme val="minor"/>
      </rPr>
      <t xml:space="preserve">Trámite 2: 26 de Febrero 2015 </t>
    </r>
    <r>
      <rPr>
        <sz val="8"/>
        <color theme="1"/>
        <rFont val="Calibri"/>
        <family val="2"/>
        <scheme val="minor"/>
      </rPr>
      <t xml:space="preserve">
La gestora Social indica que cerrara en campo directamente con el solicitante.
</t>
    </r>
  </si>
  <si>
    <t>13 febrero 2015 : SE REGISTRA LA PQRS</t>
  </si>
  <si>
    <t>11 agosto 2014 : SE COMUNICO VERBALMENTE A LA INGENIERA AMBIENTAL ELIZABETH TRUJILLO SOBRE ESTA QUEJA Y ELLA SOLICITO A LA INTERVENTORIA UN INFORME PARA VER EN QUE VA EL PROCESO
15 julio 2014 : SE COMUNICO VERBALMENTE AL INGENIERO RESIDENTE JAIME CORREA DEL CONSORCIO 23 EL RECLAMO Y AFIRMO TENER CONOCIMIENTO DEL HECHO Y SEGÚN EL ESTE YA ESTA EN UN PROCESO LEGAL Y ESTAN A LA ESPERA DEL FALLO DEL JUZGADO</t>
  </si>
  <si>
    <t>09 agosto 2014 : EN LA SOCIALIZACION DE ENTREGA DE LA VIA, EL INGENIERO AMBIENTAL JORGE MARIO GIRALDO SE COMPROMETIO A REALIZAR VISITA A LA FINCA, PARA VERIFICAR LOS TRABAJOS REALIZADOS Y EXPLICARLE AL SEÑOR FERNANDO ECHAVARRIA LO QUE ALLI SE REALIZO
29 agosto 2014 : SE VISITA LA FINCA LOS CAMBULOS Y SE REGISTRA LA VISITA REALIZADA POR LA INTERVENTORIA, ASIMISMO EL MAYORDOMO DE LA FINCA EL SEÑOR NICOLAS INFORMA QUE EL DUEÑO DE LA FINCA NO FIRMARA EL CIERRE DE ACTA DE VENCIDAD HASTA QUE NO SE LE INFORME POR ESCRITO LOS TRABAJOS REALIZADOS EN SU FINCA. POR TAL MOTIVO SE COMUNICA AL INGENIERO AMBIENTAL JORGE MARIO GIRALDO LA SITUACIÓN Y EL INFORMA QUE LE HARA LLEGAR POR ESCRITO LA RESPUESTA DE LOS TRABAJOS ALLI REALIZADOS, ESTO CON EL FIN DE QUE LA SITUACION QUEDE SOLUCIONADA
29 julio 2014 : LA INTERVENTORIA DE LA OBRA VISITO LA FINCA LOS CAMBULOS Y VERIFICO LOS TRABAJO ALLI REALIZADOS, ASIMISMO EXPLICO AL MAYORDOMO DE LA FINCA EL SEÑOR NICOLAS EL PORQUE SE REALIZO LOS DISIPADORES DE EN ESTA LONGITUD. AL FINALIZAR EL ENCUENTRO LE DEJARON UN FORMATO DE CIERRE DE ACTA DE VENCIDAD PARA QUE LA FIRMARA EL DUEÑO DE LA FINCA
24 julio 2014 : SE TOMO LA PQRS Y SE LE ENVIO POR CORREO ELCETRONICO AL INGENIERO AMBIENTAL JORGE MARIO GIRALDO DE LA SIF</t>
  </si>
  <si>
    <t>25 septiembre 2014 : EL INGENIERO HERNAN GIRALDO SE COMPROMETIO A MEJORAR LA VÍA EN UN TRAMO DE 60 MTS DONDE SE OBSERVA MAS DETERIORO POR EL PASO DE LAS VOLQUETAS
11 agosto 2014 : SE REPORTO A LA INGENIERA AMBIENTAL ELIZABETH TRUJILLO SOBRE LA QUEJA, LA CUAL VERIFICARA CON LA INTERVENTORIA</t>
  </si>
  <si>
    <t>11 agosto 2014 : SE REPORTO VERBALMENTE LA QUEJA A LA INGENIERA AMBIENTAL ELIZABETH TRUJILLO Y ELLA VERIFICARA CON LA INTERVENTORIA EN QUE VA ESTE PROCESO</t>
  </si>
  <si>
    <t>26 septiembre 2014 : SE ENVIO UN CONSOLIDADO DE LAS PQRS A LA INGENIERA AMBIENTAL ELIZABETH TRUJILLO PARA ELLA DARLE TRAMITE RESPECTIVO</t>
  </si>
  <si>
    <t>28 septiembre 2014 : SE ENVIO LA PQRS EN UN CONSOLIDADO A LA INGENIERA AMBIENTAL DE LA SIF ELIZABETH TRUJILLO</t>
  </si>
  <si>
    <t>28 agosto 2014 : ENVIO DE PQRS A LA SUPERVISORA AMBIENTAL ELIZABETH TRUJILLO POR CORREO ELECTRONICO</t>
  </si>
  <si>
    <r>
      <rPr>
        <b/>
        <sz val="8"/>
        <color theme="1"/>
        <rFont val="Calibri"/>
        <family val="2"/>
        <scheme val="minor"/>
      </rPr>
      <t xml:space="preserve">Trámite 1: 26 de Febrero 2015 </t>
    </r>
    <r>
      <rPr>
        <sz val="8"/>
        <color theme="1"/>
        <rFont val="Calibri"/>
        <family val="2"/>
        <scheme val="minor"/>
      </rPr>
      <t xml:space="preserve">
Se Socializa la PQRS con la Gestora Social y se adjunta información que permite tramitar la respuesta.
</t>
    </r>
  </si>
  <si>
    <r>
      <t xml:space="preserve">
</t>
    </r>
    <r>
      <rPr>
        <b/>
        <sz val="8"/>
        <color theme="1"/>
        <rFont val="Calibri"/>
        <family val="2"/>
        <scheme val="minor"/>
      </rPr>
      <t xml:space="preserve">Trámite 1: 26 de Febrero 2015 </t>
    </r>
    <r>
      <rPr>
        <sz val="8"/>
        <color theme="1"/>
        <rFont val="Calibri"/>
        <family val="2"/>
        <scheme val="minor"/>
      </rPr>
      <t xml:space="preserve">
Se Socializa la PQRS con la Gestora Social y se adjunta información que permite tramitar la respuesta. Recordar petición al supervisor y verificar si el contratista ha tomado medidas al respecto</t>
    </r>
  </si>
  <si>
    <r>
      <rPr>
        <b/>
        <sz val="8"/>
        <color theme="1"/>
        <rFont val="Calibri"/>
        <family val="2"/>
        <scheme val="minor"/>
      </rPr>
      <t xml:space="preserve">Trámite 1: 26 de Febrero 2015 </t>
    </r>
    <r>
      <rPr>
        <sz val="8"/>
        <color theme="1"/>
        <rFont val="Calibri"/>
        <family val="2"/>
        <scheme val="minor"/>
      </rPr>
      <t xml:space="preserve">
Se Socializa la PQRS con la Gestora Social y se adjunta información que permite tramitar la respuesta, verificar con el supervisor Hernan Giraldo 
</t>
    </r>
  </si>
  <si>
    <r>
      <rPr>
        <b/>
        <sz val="8"/>
        <color theme="1"/>
        <rFont val="Calibri"/>
        <family val="2"/>
        <scheme val="minor"/>
      </rPr>
      <t xml:space="preserve">Trámite 1: 26 de Febrero 2015 
</t>
    </r>
    <r>
      <rPr>
        <sz val="8"/>
        <color theme="1"/>
        <rFont val="Calibri"/>
        <family val="2"/>
        <scheme val="minor"/>
      </rPr>
      <t>Se Socializa la PQRS con la Gestora Social y se adjunta información que permite tramitar la respuesta. En el caso específico es encontrar en ingeniero a cargo de dar respuesta técnica al porqué de la intervención.</t>
    </r>
    <r>
      <rPr>
        <b/>
        <sz val="8"/>
        <color theme="1"/>
        <rFont val="Calibri"/>
        <family val="2"/>
        <scheme val="minor"/>
      </rPr>
      <t xml:space="preserve">
</t>
    </r>
    <r>
      <rPr>
        <sz val="8"/>
        <color theme="1"/>
        <rFont val="Calibri"/>
        <family val="2"/>
        <scheme val="minor"/>
      </rPr>
      <t xml:space="preserve">
</t>
    </r>
  </si>
  <si>
    <r>
      <rPr>
        <b/>
        <sz val="8"/>
        <color theme="1"/>
        <rFont val="Calibri"/>
        <family val="2"/>
        <scheme val="minor"/>
      </rPr>
      <t xml:space="preserve">Trámite 1: 26 de Febrero 2015 </t>
    </r>
    <r>
      <rPr>
        <sz val="8"/>
        <color theme="1"/>
        <rFont val="Calibri"/>
        <family val="2"/>
        <scheme val="minor"/>
      </rPr>
      <t xml:space="preserve">
Se Socializa la PQRS con la Gestora Social y se adjunta información que permite tramitar la respuesta. La Gestora se reunirá con el Alcalde para socializar la PQRS
</t>
    </r>
  </si>
  <si>
    <t>Andrés Mauricio Rodríguez Collazo
Jesús María Zapata</t>
  </si>
  <si>
    <t xml:space="preserve">28 julio 2014 : SE SOLICITA AL INGENIERO HENRY VERGARA, BRINDAR INFORMACIÓN AL SOLICITANTE, EL INGENIERO SE COMPROMETE A LLEVAR EL ULTIMO ESTUDIO REALIZADO Y PRESENTARSELO AL FUNCIONARIO QUE LO SOLICITÓ PARA EL 13 DE AGOSTO DE 2014.
11 julio 2014 : SE RECIBE LA SOLICITUD
06 octubre 2014 : SE TIENE CONOCIMIENTO DE QUE EL PUENTE SE ENCUENTRA EN ESPERA DE INTERVENCION POR EL CONTRATO DE PUENTES SECUNDARIOS DE LA GOBERNACION DE ANTIOQUIA
</t>
  </si>
  <si>
    <t>14 julio 2014 : SE RECIBE LA PQRS 
Avance : ESPERANDO INDICACIONES PARA TRAMITAR LA PQRS.
01 agosto 2014 : SE ENVIA LA PQRS ESCANADA AL INGENIERO HENRY VERGARA PARA SU CONOCIMIENTO Y SUGERENCIAS. 
Avance : SE CONTINUA EN ESPERA DE INDICACIONES</t>
  </si>
  <si>
    <r>
      <rPr>
        <b/>
        <sz val="8"/>
        <color theme="1"/>
        <rFont val="Calibri"/>
        <family val="2"/>
        <scheme val="minor"/>
      </rPr>
      <t xml:space="preserve">Trámite 1: 25 de Febrero 2015 </t>
    </r>
    <r>
      <rPr>
        <sz val="8"/>
        <color theme="1"/>
        <rFont val="Calibri"/>
        <family val="2"/>
        <scheme val="minor"/>
      </rPr>
      <t xml:space="preserve">
La Gestora Social en campo  levanta acta con el secretario de planeación del municipio, la solicitus se encuentra en el programa atual del contrato de puentes.
</t>
    </r>
  </si>
  <si>
    <r>
      <rPr>
        <b/>
        <sz val="8"/>
        <color theme="1"/>
        <rFont val="Calibri"/>
        <family val="2"/>
        <scheme val="minor"/>
      </rPr>
      <t>Trámite 2: 25 de Febrero 2015</t>
    </r>
    <r>
      <rPr>
        <sz val="8"/>
        <color theme="1"/>
        <rFont val="Calibri"/>
        <family val="2"/>
        <scheme val="minor"/>
      </rPr>
      <t xml:space="preserve">
la PQRS está en trámite a la espera de verificar el acuerdo entre las partes, la Gestora Social hará visita en la cual se confirma con acta de recibido y satisfacción por las partes. En caso contrario se le pedirá copia para tener constancia del acuerdo.
</t>
    </r>
  </si>
  <si>
    <r>
      <rPr>
        <b/>
        <sz val="8"/>
        <color theme="1"/>
        <rFont val="Calibri"/>
        <family val="2"/>
        <scheme val="minor"/>
      </rPr>
      <t>Trámite 2: 3 de Marzo 2015</t>
    </r>
    <r>
      <rPr>
        <sz val="8"/>
        <color theme="1"/>
        <rFont val="Calibri"/>
        <family val="2"/>
        <scheme val="minor"/>
      </rPr>
      <t xml:space="preserve">
Se reporta PQRS a Fidel Castro a quien se le envía la información para adjuntarla a la lista de solicitudes, según los casos y el presupuesto predispuesto la PQRS está a la espera de las decisiones por parte de las directivas. La PQRS aún sigue a la espera de ser evaluada por las directivas.
</t>
    </r>
  </si>
  <si>
    <r>
      <rPr>
        <b/>
        <sz val="8"/>
        <color theme="1"/>
        <rFont val="Calibri"/>
        <family val="2"/>
        <scheme val="minor"/>
      </rPr>
      <t xml:space="preserve">Trámite 3: 27 de Febrero 2015 
</t>
    </r>
    <r>
      <rPr>
        <sz val="8"/>
        <color theme="1"/>
        <rFont val="Calibri"/>
        <family val="2"/>
        <scheme val="minor"/>
      </rPr>
      <t>La Trabajadora Social de la Interventoría en Occidente y Urabá, CEL: 3127367548; Correo: Jahyragomez84@gmail.com, ira de visita técnica con el ingeniero residente, con el fin de evidenciar y registrar la situación presentada, también para que el ingeniero adquiera el compromiso de atender la solicitud, a la espera de los soportes e información por parte de la Trabajadora Social.</t>
    </r>
    <r>
      <rPr>
        <b/>
        <sz val="8"/>
        <color theme="1"/>
        <rFont val="Calibri"/>
        <family val="2"/>
        <scheme val="minor"/>
      </rPr>
      <t xml:space="preserve">
</t>
    </r>
  </si>
  <si>
    <r>
      <rPr>
        <b/>
        <sz val="8"/>
        <color theme="1"/>
        <rFont val="Calibri"/>
        <family val="2"/>
        <scheme val="minor"/>
      </rPr>
      <t>Trámite 3: 3 de Marzo 2015</t>
    </r>
    <r>
      <rPr>
        <sz val="8"/>
        <color theme="1"/>
        <rFont val="Calibri"/>
        <family val="2"/>
        <scheme val="minor"/>
      </rPr>
      <t xml:space="preserve">
Se está elaborando respuesta por escrito con la supervisora Claudia Andrea Borrego García, se enviara a Gestor Social.</t>
    </r>
  </si>
  <si>
    <r>
      <rPr>
        <b/>
        <sz val="8"/>
        <color theme="1"/>
        <rFont val="Calibri"/>
        <family val="2"/>
        <scheme val="minor"/>
      </rPr>
      <t>Trámite 3: 25 de Febrero 2015</t>
    </r>
    <r>
      <rPr>
        <sz val="8"/>
        <color theme="1"/>
        <rFont val="Calibri"/>
        <family val="2"/>
        <scheme val="minor"/>
      </rPr>
      <t xml:space="preserve">
La Gestora Social está a la espera de un informe técnico para darle respuesta al solicitante, la secretaria dio oficial directriz de para la ejecución de las obra.
Se da como resuelta al comunicarce con el inspector de obra, el cual adjuntará fotografia que sirvirá de constancia de ejecución
</t>
    </r>
  </si>
  <si>
    <r>
      <rPr>
        <b/>
        <sz val="8"/>
        <color theme="1"/>
        <rFont val="Calibri"/>
        <family val="2"/>
        <scheme val="minor"/>
      </rPr>
      <t>Trámite 3: 25 de Febrero 2015</t>
    </r>
    <r>
      <rPr>
        <sz val="8"/>
        <color theme="1"/>
        <rFont val="Calibri"/>
        <family val="2"/>
        <scheme val="minor"/>
      </rPr>
      <t xml:space="preserve">
La Gestora Social está a la espera de un informe técnico para darle respuesta al solicitante, la secretaria dio oficial directriz de para la ejecución de las obra.
Se da como resuelta a resibir satisfación del solicitante, en las actas de vecindad se deja constancia.</t>
    </r>
  </si>
  <si>
    <t>ALBA INES RENDON RIVERA</t>
  </si>
  <si>
    <t>LA SEÑORA ARGUMENTA QUE DEBIDO A TRABAJOS REALIZADOS EN LA VÍA CON LA MAQUINA VIBROCOMPACTADORA SU CASA SE AGRIETÓ. 
REQUIERE LE REVISEN SU VIVIENDA Y DETERMINEN LA RESPONSABILIDAD DE QUIENES TRABAJARON EN LA VÍA.</t>
  </si>
  <si>
    <t>IVAN QUICENO MONCADA</t>
  </si>
  <si>
    <t>EN EL SECTOR BELLAVISTA HAY UN TRAMO DE VÍA, QUE PONE EN RIESGO LA INTEGRIDAD DE QUIENES POR ALLÍ TRANSITAN, EL PASADO DOMINGO 22 DE FEBRERO UN VEHÍCULO CARGADO CON PASAJEROS PERDIÓ EL CONTROLY CAYO A UN HUECO. SE SOLICITA INTERVENIR EL MAL ESTADO DE ESTA ALTA PENDIENTE.</t>
  </si>
  <si>
    <t>CARLOS HOLMES BORJA</t>
  </si>
  <si>
    <t>DESDE LA ENTRADA A SAN PEDRO DE URABA, PUENTE KILOMETRO UNO, APROXIMADAMENTE EN UN TRAMO DE 400 METROS, LA VIA ESTA EN BASE DE TIERRA GRANULAR, SOLICITA QUE ESTE TRAMO SEA INTERVENIDO CON EL SISTEMA DE DOBLE RIEGO QUE SE ESTA EJECUTANDO EN LA VIA, CON EL FIN DE DARLE CONTINUIDAD A LA PAVIMENTACION QUE SE ESTA REALIZANDO EN LA VIA EL TRES-SAN PEDRO DE URABA Y PARA PREVENIR ACCIDENTES.</t>
  </si>
  <si>
    <t>28 de Febrero a 2 de Marzo</t>
  </si>
  <si>
    <r>
      <rPr>
        <b/>
        <sz val="8"/>
        <color theme="1"/>
        <rFont val="Calibri"/>
        <family val="2"/>
        <scheme val="minor"/>
      </rPr>
      <t xml:space="preserve">Trámite 2: 4 de Marzo 2015 </t>
    </r>
    <r>
      <rPr>
        <sz val="8"/>
        <color theme="1"/>
        <rFont val="Calibri"/>
        <family val="2"/>
        <scheme val="minor"/>
      </rPr>
      <t xml:space="preserve">
Se reporta PQRS a la supervisora María Del Rosario Palacio Sánchez, la supervisora se comunicó con el director del contrato de obra para solicitar los recibos correspondientes y/o dar seguimiento a la situación.
</t>
    </r>
  </si>
  <si>
    <t>31 octubre 2014 : SE INGRESA AL APLICATIVO PARA ENTREGAR A LA SIF</t>
  </si>
  <si>
    <r>
      <rPr>
        <b/>
        <sz val="8"/>
        <color theme="1"/>
        <rFont val="Calibri"/>
        <family val="2"/>
        <scheme val="minor"/>
      </rPr>
      <t>Trámite 1: 4 de Marzo 2015</t>
    </r>
    <r>
      <rPr>
        <sz val="8"/>
        <color theme="1"/>
        <rFont val="Calibri"/>
        <family val="2"/>
        <scheme val="minor"/>
      </rPr>
      <t xml:space="preserve">
Se reporta PQRS a María del Rosario Palacios, la cual hace la consulta respectiva al Gerente Operativo, con el fin de determinar s interviene o no?, se pretende hacer visita para identificar si se requieren obras de drenaje. PQRS a  la espera de la respuesta por parte del Gerente Operativo.</t>
    </r>
  </si>
  <si>
    <r>
      <rPr>
        <b/>
        <sz val="8"/>
        <color theme="1"/>
        <rFont val="Calibri"/>
        <family val="2"/>
        <scheme val="minor"/>
      </rPr>
      <t>Trámite 1: 4 de Marzo</t>
    </r>
    <r>
      <rPr>
        <sz val="8"/>
        <color theme="1"/>
        <rFont val="Calibri"/>
        <family val="2"/>
        <scheme val="minor"/>
      </rPr>
      <t xml:space="preserve">
Se reporta la PQRS a la supervisora encargada Gloria Gómez del equipo de vías urbanas, dando la respuesta correspondiente, la PQSR está abierta a la espera de tramitar las firmas para la solicitud en específico.</t>
    </r>
  </si>
  <si>
    <t>16 febrero 2015 : INGRESO DE PQRS EN APLICATIVO</t>
  </si>
  <si>
    <t>16 febrero 2015 : INGRESO APLICATIVO DE PQRS</t>
  </si>
  <si>
    <t>20 febrero 2015 : SE VISITA EL LUGAR 
Avance : SE DETERMINA QUE LA OBRA SE DESTAPARÁ LO ANTES POSIBLE, PERO QUE SE REQUIERE QUE EL INSPECTOR DE POLICIA ACOMPAÑE LA LABOR, PARA ESTABLECER MULTAS PARA EL SEÑOR QUE TAPA LA OBRA. CON EL ARGUMENTO QUE EL BIEN COLECTIVO PRIMA POR ENCIMA DEL PARTICULAR, ADEMAS LA OBRA ESTA SOBRE LA FAJA QUE CORRESPONDE A LA VÍA.
19 febrero 2015 : SE REPORTA TELEFONICAMENTE ESTE TEMA AL SUPERVISOR DE LA SIF 
Avance : SE VISITARÁ EL LUGAR EL 20 DE FEBRERO</t>
  </si>
  <si>
    <t>19 febrero 2015 : SE REPORTA TELEFONICAMENTE ESTE TEMA AL SUPERVISOR DE LA SIF 
Avance : SE VISITARÁ EL LUGAR EL 20 DE FEBRERO
20 febrero 2015 : SE VISITA EL LUGAR 
Avance : SE DETERMINA QUE NO ESTA PERMITIDO PARA ESTE TIPO DE VÍAS. SE HABLARÁ CON LA ALCALDESA PARA INCENTIVAR CAMPAÑA VÍAL.</t>
  </si>
  <si>
    <t>21 febrero 2015 : EN LA VISITA DEL SUPERVISOR DE LA SIF PARA EL SUEROESTE, SE ADQUIRIO EL COMPROMISO DE ENTREGAR DETALLES DE LAS INTERVENCION QUE SE HARÁ DURANTE ESTE AÑO A LA VÍA EN MENCION 
Avance : SE ENTREGÓ INFORMACION PARCIAL A LA ALCALDESA DEL MUNICIPIO, SE DEBE OFICIAR LA RESPUESTA.
16 febrero 2015 : INGRESO AL APLICATIVO PARA INICIAR TRÁMITE 
Avance : NINGUNO.</t>
  </si>
  <si>
    <t>16 febrero 2015 : LLAMADAS AL SUPERVISOR DEL PROYECTO DESDE EL MISMO MOMENTO QUE SE RECIBIO LA QUEJA 
Avance : NINGUNO, LA COMUNICACIÓN HA ESTADO DIFICIL
19 febrero 2015 : YA SE VISITÓ EL LUGAR Y SE LEVANTO DETALLES DE LA QUEJA 
Avance : EL DÍA 23 DE3 FEBRERO SE TENDRÁ REUNION CON EL SUPERVISOR DE CABLES DE LA SIF PARA DETERMINAR EL TRAMIENTO QUE SE DARÁ A LA QUEJA.</t>
  </si>
  <si>
    <r>
      <rPr>
        <b/>
        <sz val="8"/>
        <color theme="1"/>
        <rFont val="Calibri"/>
        <family val="2"/>
        <scheme val="minor"/>
      </rPr>
      <t>Trámite 2: 25 de Febrero 2015</t>
    </r>
    <r>
      <rPr>
        <sz val="8"/>
        <color theme="1"/>
        <rFont val="Calibri"/>
        <family val="2"/>
        <scheme val="minor"/>
      </rPr>
      <t xml:space="preserve">
El equipo de cables se reúne con la Gestora Social el día Lunes 23 de Febrero, para aclarar las dudas y mencionarles el asunto de la PQRS, la gestora envía información de la petición y se les hace entrega.
</t>
    </r>
    <r>
      <rPr>
        <b/>
        <sz val="8"/>
        <color theme="1"/>
        <rFont val="Calibri"/>
        <family val="2"/>
        <scheme val="minor"/>
      </rPr>
      <t>Trámite 3: 05 de Marzo 2015</t>
    </r>
    <r>
      <rPr>
        <sz val="8"/>
        <color theme="1"/>
        <rFont val="Calibri"/>
        <family val="2"/>
        <scheme val="minor"/>
      </rPr>
      <t xml:space="preserve">
Respuesta del Supervisor vía correo electrónico.
Buenas tardes,
Dorley Londoño
reciba un cordial saludo,
Te cuento que ya se dio la directriz para organizar el paso que se encontraba restringido, según la solicitud del líder comunitario del municipio de Jardín. La idea es realizar un portillo, el cual pueda abrir y cerrar, de esta forma habilitar el paso a los animales que transportan carga, pero evitar el paso de los animales a las instalaciones del sistema.
De acuerdo a la solicitud de esclarecer la compra o forma de negociación del predio de la estación reenvío del STCA del municipio de Jardín, el año pasado en el contrato de urgencia manifiesta se realizó el estudio de los predios de los STCA del Departamento, concluyendo, que el predio de la estación reenvío del STCA del municipio de Jardín se encuentra embargado, según información suministrada por la Dirección de Valorización de la Secretaria de Infraestructura. Por las condiciones anteriormente expuestas, la Secretaria de Infraestructura no ha podido legalizar dicho predio. 
La solicitud realizada por el líder comunitario y asociada a las inconformidades presentadas por las aguas lluvias mal encausadas, le cuento que ya se solicitaron cotizaciones para adecuar y organizar dicha situación.
De acuerdo a la petición que realiza el líder comunitario y asociada al beneficio de las tarifas del STCA. La Administración Departamental le informa que las tarifas del sistema están establecidas mediante oficio E 201400523455 del 25 de noviembre del 2014.
Saludos,
Omar Acevedo
</t>
    </r>
  </si>
  <si>
    <t>25 agosto 2014 : ENTREGA DEL CASO A LA INTERVENTORIA 
Avance : YA SE REMITIO EL CASO A LA INSTANCIA CORRESPONDIENTE
19 septiembre 2014 : SE DIALOGÓ CON EL CONTRATISTA DEL TEMA Y REQUIERE QUE LA SIF LE ENTREGUE EL MONTO INVERTIDO EN EL MUNICIPIO. 
Avance : AVERIGUACION EN LA SIF PARA DARLE TRÁMITE AL TEMA.
16 febrero 2015 : SE DIALOGO CON EL SUPERVISOR DE LA SIF PARA EL SUROESTE Y DIJO QUE EL CONTRATISTA YA SABE CUANTO DEBE PAGAR 
Avance : EN LA REUNION QUE SE LLEVARÁ A CABO LA ÚLTIMA SEMANA DE FEBRERO SE INDAGARÁ POR EL TEMA.</t>
  </si>
  <si>
    <t>21 febrero 2015 : EL SUPERVISOR DE LA SIF PARA EL SUROESTE, EN SOCIALIAZACION DE ENTREGA DE LA VÍA SALGAR -LA CAMARA -LA QUIEBRA, COMENTÓ QUE SÍ EL CONTRATISTA HIZO DAÑOS DEBE REPONDER POR ELLOS, QUE SE DEBE REVISAR Y RESPECTO A LA SEÑALIZACION EXPLICO QUE LA GOBERNACION NO PUEDE AUTORIZAR RESALTOS EN ESTE TIPO DE VÍAS Y QUE ESTUDIARA EL TEMA DE LA SEÑALIZACION PINTADA. 
Avance : EN LA ULTIMA SEMANA DE FEBREO SE TIENE REUNION CON EL SUPERVISOR DE LA SIF DEL SUROESTE, EN DICHA REUNUION SE ESPERA DEJAR LISTA LA RESPUESTA A ESTA PQRS, QUE HASTA AHORA ES PARCIAL.
19 agosto 2014 : REPORTE DE PQRS A TRAVES DEL APLICATIVO 
Avance : NINGUNO</t>
  </si>
  <si>
    <t>03 julio 2014 : ENTREGA DEL CASO A LA SIF 
Avance : SE PROGRAMARA VISITA DE INSPECCION AL LUGAR POR PARTE DE LA ING AMBIENTAL YEL SUPERVISOR TECNICO DE LA SIF
16 febrero 2015 : A TRÁVES DEL CONTRATO DE INTERVENCION A PUNTOS CRITICOS, AL PARECER SE ESTA INTERVINIENDO ESTA ZONA 
Avance : SE HABLO CON EL SUPERVISOR DE PUNTOS CRITICOS, PARA CONFIRMAR LA INFORMACION Y CERRAR LA PQRS.
06 agosto 2014 : LLAMADA A LA ING AMBIENTAL DE LA SIF A CARGO, ELIZABETH TRUJILLO, PARA SOLICITAR INFORMACION DEL CASO 
Avance : SE PROGRAMA REUNION PARA EL 11 DE AGOSTO EN LA SIF PARA HABLAR DEL TEMA</t>
  </si>
  <si>
    <t>16 febrero 2015 : EN REUNIÓN CON EL SUPERVISOR DEL SUROESTE DE LA SIF SE PLANTEÓ QUE SE ESTA ZONA A PARENTEMENTE PERTENECE AL CASCO URBANO DEL MUNICIPIO, EL CONTRATISTA CORROBORA Y DE ACUERDO A ESA INFORMACION SE DEFINE 
Avance : SE ESTA A LA ESPERA DEL REPORTE POR PARTE DEL CONTRATISTA
04 julio 2014 : ENTREGA DE LA PQRS A LA SIF 
Avance : PROGRAMAN VISITA AL LUGAR
24 junio 2014 : VISITA DE INSPECCION EN SITIO 
Avance : REPORTE DE LA PETICION
06 agosto 2014 : LLAMADA A LA ING AMBIENTAL DE LA SIF A CARGO, ELIZABETH TRUJILLO, PARA SOLICITAR INFORMACION DEL CASO 
Avance : SE PROGRAMA REUNION PARA EL 11 DE AGOSTO EN LA SIF PARA HABLAR DEL TEMA</t>
  </si>
  <si>
    <t>16 febrero 2015 : EN REUNIÓN CON EL SUPERVISOR DEL SUROESTE DE LA SIF SE PLANTEÓ QUE A ESTA VÍA NO SE LE INVERTIRÁ MAS DINERO EN OBRAS 
Avance : SE DEBERÁ REDACTAR CARTA DE RESPUESTA PARA EL SEÑOR SOLICITANTE,CON COPIA A LA ADMINISTRACIÓN.
03 julio 2014 : ENTREGA DE LA PQRS A LA ING AMBIENTAL DE LA SIF 
Avance : REMITIO AL CONTRATISTA PARA QUE PROGRAME VISITA CUANTO ANTES
23 octubre 2014 : VISITA AL LUGAR POR PARTE DEL CONTRATISTA, PERO SE DETERMINA QUE NO ES RESPONSABILIDAD DEL CONTRATO VIGENTE 
Avance : SE ESPERA QUE EL SUPERVISOR HERNAN GIRALDO DETRERMINE SI SE DESTINA EL RECURSO PARA ATEDER ESTA SOLICITUD O NO.
06 agosto 2014 : LLAMADA A LA ING AMBIENTAL DE LA SIF A CARGO, ELIZABETH TRUJILLO, PARA SOLICITAR INFORMACION DEL CASO 
Avance : SE PROGRAMA REUNION PARA EL 11 DE AGOSTO EN LA SIF PARA HABLAR DEL TEMA</t>
  </si>
  <si>
    <t>08 octubre 2014 : EL SECRETARIO SIF PIDIO UNA LISTA DE LOS CER QUE PRESENTAN ESTA PROBLEMÁTICA EN TODO EL DEPARTAMENTO
08 septiembre 2014 : SE ENTREGA PQRS EN FORMATO FÍSICO A MARCELA P.</t>
  </si>
  <si>
    <r>
      <rPr>
        <b/>
        <sz val="8"/>
        <color theme="1"/>
        <rFont val="Calibri"/>
        <family val="2"/>
        <scheme val="minor"/>
      </rPr>
      <t xml:space="preserve">Trámite 4: 21 de Febrero 2015 </t>
    </r>
    <r>
      <rPr>
        <sz val="8"/>
        <color theme="1"/>
        <rFont val="Calibri"/>
        <family val="2"/>
        <scheme val="minor"/>
      </rPr>
      <t xml:space="preserve">
Se logra comunicar telefónicamente con la señora Amalia, indica que la empresa contratista recibió las actas de la socialización y vinculación de la mano de obra, el día lunes (21/02/2015). Adjuntara los documentos pertinentes.</t>
    </r>
  </si>
  <si>
    <t>RESPUESTA 03/03/2015</t>
  </si>
  <si>
    <t>RESPUESTA 10/03/2015</t>
  </si>
  <si>
    <t>07 enero 2015 : SEGUIMIENTO LLAMADA TELEFONICA SIF PARA VEROIFICAR EL HECHO
13 enero 2015 : SEGUIMIENTO VERIFCACION DE DISPONIBILIDAD DE RENTAN PARA PROCEDER EN LA VIA LATO DE DOLORES MACEO CON EL SEÑOR JUAN DAVID LOAIZA PENDIENTE TERMINAR EL CARACOLI PARA CONTINUAR EN MACEO</t>
  </si>
  <si>
    <t>07 octubre 2014 : SE REALIZA VISITA A LA VEREDA SAN LAZARO DONDE SE ENTREGA A SATISFACCION CONSTRUCCION DE OBRAS DE DRENAJE TANTO EN LA VIA DE LA VEREDA COMO EN LA VIA SECUNDARIA, ESTA ACTA LA FIRMA LA PRESIDENTA DE LA ACCION COMUNAL
08 julio 2014 : SE REALIZA VISITA TECNICA CON INGENIEROS DE LS SECRETARIIA DE INFRAESTRUCTURA FISICA, SECRETARIA DE PLANEACION FRONTINO, INSPECTORES DEL CONSORCIO Y GESTORA SOCIAL CAP - OCCIDENTE 
Avance : SE ENTREGA REPORTE AL ALCALDE Y MANIFIESSTA ENTREGAR RRECURSO ECONOMICO PARA INICIO DE OBRA DE CANALIZACION DE AGUAS LLUVIAS Y RESIDUALES DE LA VEREDA SAN LAZARO
06 agosto 2014 : SE REALIZA VISITA A LA ADMINISTRACION MUNICIPAL Y SE
06 agosto 2014 : SEGUIMIENTO PQRS, EL AVANCE DE LAS GESTIONES VA EN UN 40%, SE TIENEN ESTUDIOS PREVIOS, TECNICOS Y PRESUPUESTALES A LA ESPERA DE APROBACION PARA EJECUCION.
07 octubre 2014 : SE REALIZA VISITA PARA VERIFICACION DE CONSTRUCCION DE CUNETAS Y CAJA PARA RECOLECCION DE AGUAS RESIDUALES, SE ENCUANTRA QUE YA ESTAN COSNTRUIDAS, SE LEVANTA ACTA DE ENTREGA DE LA OBRA CON LA PRESIDENTA DE LA ACCION COMUNAL DE LA VEREDA SAN LAZARO</t>
  </si>
  <si>
    <t>14 agosto 2014 : SE REALIZA LLAMADA TELEFONICA AL INGENIERO MAURICIO MORALES PARA INDAGAR ACERCA DE LA PQRS PUESTA POR EL ALCALDE DE SABANALARGA, A LO CUAL MANIFIESTA QUE SE REALIZO VISITA DE RECONOCIMIENTO CON EEL SEÑOR ALCALDE ENVIA LIBORINA - SABANALARGA Y SABANALRGA - EL ORO, DONDE SE QUEDO CON EL ACUERDO DE INICIAR LAS OBRAS DESDE SABANALARGA HACIA LIBORINA, ADEMÁS SE LE SUGIRIO AL CONTRATISTA RECIBIR LAS HOJAS DE VIDA DEL PERSONAL OPERATIVO DEL MUNICIPIO. ASI SE VA DANDO RESPUESTA POSITIVA A ESTA PQRS.
15 julio 2014 : REALIZA VISITA A LA ADMINISTRACION MUNICIAPL PARA ATENDER PQRS, DICHA VISITA SE REALIZA CON LA INGENIERA MARIA DEL ROSARIO PALACIO DE LA SIF, QUIEN LE ENTREGA CIFRAS DE LA INTERVENCION EN LA VIA LIBORINA - SABANALARGA, ADEMAS MANIFIETA QUE ES VIABLE EMPEZAR LAS OBRAS DESDE SABANALARGA HACIA LIBRINA 
Avance : SE LLEVARA PROPUESTA DEL ALCALDE DE INICIAR LAS OBRAS EN SABANALARGA HACIA VIA LIBORINA Y ADEMAS SE LE PROPUSO ENVIAR OFICIO CON ESTA SOLICITU AL SEÑOR MAURICIO VALENCIA DE LA SIF.
11 septiembre 2014 : SE INDAGA CON EL ALCALDE QUE TAN SATISFECHO SE SIENTE CON EL CUMPLIMIENTO DE LA PQRS INTERPUESTA POR EL, MANIFIESTA QUE VA EN UN 40% DE EJECUCION</t>
  </si>
  <si>
    <r>
      <rPr>
        <b/>
        <sz val="8"/>
        <color theme="1"/>
        <rFont val="Calibri"/>
        <family val="2"/>
        <scheme val="minor"/>
      </rPr>
      <t>Trámite 1: 6 de Marzo 2015</t>
    </r>
    <r>
      <rPr>
        <sz val="8"/>
        <color theme="1"/>
        <rFont val="Calibri"/>
        <family val="2"/>
        <scheme val="minor"/>
      </rPr>
      <t xml:space="preserve"> 
Se reporta PQRS al supervisor Mauricio Morales Gómez,
Respuesta
En cuando a las peñas, se le está haciendo un seguimiento a dicho punto con el propósito de evaluar la estabilidad natural del talud, pudiendo así determinar algunas alternativas de obras para minimizar los derrumbes en el sitio.
En cuento al inicio de las obras de Sabanalarga a Liborína, le informamos que en la actualidad se están haciendo unas pistas de prueba en el sector donde la vía es más amplia, para no tener que cerrar la vía en su totalidad.  Al tener finalizada la evaluación sobre las pistas, daremos inicio a los trabajos en la vía con jurisdicción Sabanalarga.
</t>
    </r>
  </si>
  <si>
    <t>29 agosto 2014 : CIERRE DE PQRS DURANTE RECORRIDO DE SECRETARIO, GERENTE OPERATIVO, DIRECTOR DE DESARROLLO FISICO Y SUPERVISOR.
08 octubre 2014 : SE ESTAN EJECUTANDO LAS OBRAS POR PARTE DEL CONTRATISTA
29 agosto 2014 : SE REALIZA RECORRIDO TECNICO Y SE VERIFICA INTERVENCION DE FALLAS POR PARTE DE INFRAME
07 julio 2014 : PQRS ESCANEADA A FERNANDO</t>
  </si>
  <si>
    <t>29 agosto 2014 : SE REALIZA RECORRIDO TECNICO Y SE VERIFICA INTERVENCION DE FALLAS POR PARTE DE INFRAME
07 julio 2014 : PQRS ESCANEADA A FERNANDO
Dir. Gestión Social SIF
29 agosto 2014 : CIERRE DE PQRS DURANTE RECORRIDO DE SECRETARIO, GERENTE OPERATIVO, DIRECTOR DE DESARROLLO FISICO Y SUPERVISOR.
08 octubre 2014 : SE ESTAN EJECUTANDO LAS OBRAS POR PARTE DEL CONTRATISTA</t>
  </si>
  <si>
    <t>20 marzo 2014 : La SIF envía una comisión (técnica, social y ambiental) al corregimiento a socializar la intervención que se realizará como solución, teniendo en cuanta las limitaciones económicas.
Se convocan las alcaldias de Turbo y San Pedro de Uraba para asistir a dicha socialización ( en particular a los alcaldes y secretarios de planeación municipal)
Se convoca a la comunidad por mediod de las alcaldias, emisoras locales y 300volantes repartidos en el corregimiento y los municipios mencionados.</t>
  </si>
  <si>
    <t>04 julio 2014 : REUNION CON LA INGENIERA AMBIENTAL ELIZABETH TRUJILLO EN LA CUAL SE LE EXPUSO LA QUEJA
11 julio 2014 : RESPUESTA A QUEJA ENVIADA POR ELIZABETH TRUJILLO, VIA CORRE ELECTRONICO, EN LA CUAL LA INTERVENTORA JULIANA GOMEZ INFORMA QUE EL 20 DE JUNIO SE REUNIO CON EL CONTRATISTA Y LE SOLICITO ARREGLAR EL PAVIMENTO QUE QUEDO ENMUY MAL ESTADO Y EL 26 DE JUNIO LE SOLICITA PROGRAMAR LA COLOCACION DEL PAVIMENTO Y UNA DESCRIPCION SEMANAL DEL TRABAJADO REALIZADO
13 agosto 2014 : EL ALCALDE DE JERICO INFORMA QUE EL PAVIMENTO QUE HABIA QUEDADO RISADO, FUE RETIRADO Y DE NUEVO SE PAVIMENTO QUEDANDO LA VIA EN MUY BUEN ESTADO
02 julio 2014 : REUNION CON EL INGENIERO SUPERVISOR HERNAN GIRALDO PARA ANALISIS DE LA QUEJA
01 julio 2014 : ENVIO POR CORREO ELECTRONICO LA PQRS AL INGENIERO SUPERVISOR DEL SUROESTE LA QUEJA</t>
  </si>
  <si>
    <t>14 julio 2014 : SE COMUNICO AL INGENIERO DEL CONSORCIO SUROESTE 23 SOBRE LA QUEJA, Y SEGÚN EL, ESTA OBRA ES EJECUTADA POR EL BID
21 julio 2014 : SE INFORMO AL SEÑOR JULIO SANCHEZ SUPERVISOR DE LOS PROYECTOS DEL BID, Y SEGÚN EL, ESTOS TRABAJO EN EL MUNICIPIO DE FREDONIA YA FINALIZARON 
Avance : LAS OBRAS DE MANTENIMIENTO YA FINALIZARON</t>
  </si>
  <si>
    <t>29 julio 2014 : EL CONTRATISTA RECOGE LOS ESCOMBROS, ORGANIZA EL MURO Y LA COLUMNA DE LA ENTRADA
01 agosto 2014 : SE VISITA LA SEÑORA DIANA Y SE FIRMA ACTA EN EL CUAL DECLARA LA SATISFACCION DE LAS OBRAS REALIZADAS</t>
  </si>
  <si>
    <t>25 septiembre 2014 : EN EL MES DE SEPTIEMBRE SE REALIZO EL LLENO DEL MURO FALTA SU PAVIMENTACION, CUANDO SE ESTABILICE EL LLENO
19 septiembre 2014 : AL MURO YA SE LE REALIZO EL LLENOARIO. SE VERIFICO EN RECORRIDO CON EL SECRETARIO DE INFRAESTRUCTURA MAURICIO VALENCIA
11 agosto 2014 : SE REPORTO A LA INGENIERA AMBIENTAL ELIZABETH TRUJILLO LA QUEJA DE MANERA VERBAL.</t>
  </si>
  <si>
    <t>04 agosto 2014 : SE INFORMA AL INGENIERO AMBIENTAL JORGE MARIO GIRALDO SOBRE LA QUEJA Y SE ENVIA LA DESCRIPCION DEL HECHO A TRAVES DE CORREO ELECTRONICO
08 agosto 2014 : EL CONTRATISTA ACUERDA REALIZAR EL PAGO DEL 100% DE LA LIMPIEZA DE LAS CUNETAS
11 agosto 2014 : LA EMPRESA REALIZA EL PAGO DE LIMPIEZA DE CUNETAS Y DEL 50% DE LA SEGURIDAD SOCIAL DE LOS TRABAJADORES
06 agosto 2014 : SE VISITA LA INTERVENTORIA DE LA EMPRESA CONALVIAS, SE INFORMA LA QUEJA Y LA INGENIERA AMBIENTAL HEIDY INFORMA QUE SE COMUNICARA CON EL CONTRATISTA PARA BUSCAR UNA SOLUCION
05 agosto 2014 : SE COMUNICA EL INGENIERO ALEJANDO DE LA EMPRESA CONALVIAS CON EL PRESIDENTE DE LA ASOCOMUNAL PARA LLEGAR A UN ACUERDO DE PAGO</t>
  </si>
  <si>
    <t>24 junio 2014 : VISITA AL LUGAR 
Avance : YA SE ABRIO PASO A LOS VEHICULOS, AÚN FALTA RETIRAR MATERIAL DE LA VIA
19 junio 2014 : VISITA AL LUGAR Y AVISO AL SUPERVISOR HERNAN GIRALDO PARA EVACUAR EL DERRUMBE 
Avance : DON HERNAN INFORMA AL CONTRATISTA PARA QUE VERIFIQUE LA SITUACION
16 julio 2014 : DERRUMBE REMOVIDO DE LA VÍA 
Avance : PENDIENTE VISITA A LA ZONA
20 junio 2014 : LLAMADA TELEFONICA AL SUPERVISOR PARA INDAGAR SOBRE EL PROCESO 
Avance : EL SUPERVIOR COMUNICA QUE ESTAN PENDIENTES DE LA DESTINACION DEL BOTADERO MUNICIPAL</t>
  </si>
  <si>
    <r>
      <rPr>
        <b/>
        <sz val="8"/>
        <color theme="1"/>
        <rFont val="Calibri"/>
        <family val="2"/>
        <scheme val="minor"/>
      </rPr>
      <t xml:space="preserve">Trámite 1: 6 de Marzo 2015 </t>
    </r>
    <r>
      <rPr>
        <sz val="8"/>
        <color theme="1"/>
        <rFont val="Calibri"/>
        <family val="2"/>
        <scheme val="minor"/>
      </rPr>
      <t xml:space="preserve">
Se reporta PQRS a Elizabeth Trujillo Vásquez, se le adjunta tabla en. Excel con el listado total de las PQRS, para que sean revisadas por la interventoría con el fin de aclarar la respuesta. Las PQRS adjuntas están abiertas a la espera de una respuesta específica de cada una.</t>
    </r>
  </si>
  <si>
    <r>
      <rPr>
        <b/>
        <sz val="8"/>
        <color theme="1"/>
        <rFont val="Calibri"/>
        <family val="2"/>
        <scheme val="minor"/>
      </rPr>
      <t>Trámite 4: 6 de Marzo 2015</t>
    </r>
    <r>
      <rPr>
        <sz val="8"/>
        <color theme="1"/>
        <rFont val="Calibri"/>
        <family val="2"/>
        <scheme val="minor"/>
      </rPr>
      <t xml:space="preserve">
Respuesta:
En este punto se hizo una mitigación con costales para protección de la vía, evitando que el agua siga socavando el talud, se hará diseño de un muro requerido en este punto crítico con el contrato actual de mantenimiento, también se enviara un especialista para determinar la mejor solución al punto critico.
</t>
    </r>
  </si>
  <si>
    <r>
      <rPr>
        <b/>
        <sz val="8"/>
        <color theme="1"/>
        <rFont val="Calibri"/>
        <family val="2"/>
        <scheme val="minor"/>
      </rPr>
      <t>Trámite 4: 6 de Marzo 2015</t>
    </r>
    <r>
      <rPr>
        <sz val="8"/>
        <color theme="1"/>
        <rFont val="Calibri"/>
        <family val="2"/>
        <scheme val="minor"/>
      </rPr>
      <t xml:space="preserve">
Respuesta:
En la vía Sonsón-Puente-San Rafael con este contrato sólo se hicieron actividades de rocería y limpieza de obras transversales, así mismo la instalación de afirmado en el Km 18 punto crítico que antes fue intervenido por RENTAN, las necesidades faltantes detectadas se atenderán a la fecha en la vía, se atenderán con el próximo contrato de mantenimiento.
</t>
    </r>
  </si>
  <si>
    <t>31 octubre 2014 : SE DILIGENCIA PQRS EN APLICATIVO
31 octubre 2014 : INFORME DE DICHA QUEJA A FERNANDO CORTES 
Avance : SE PLANEA RECORRIDO Y SOCIALIZACION DE SEGUIMIENTO CON DICHAS COMUNIDADES PARA LOS DIAS 20 Y 21 DE NOVIEMBRE Y SE LE INFORMA AL CIUDADANO
28 noviembre 2014 : SOCIALIZACION DE OBRAS DE OCENSA EN LA VEREDA BODEGAS DE PUERTO BERRIO. 
Avance : SE SOCIALIZO CON LAS COMUNIDADES DE LAS VEREDAS BODEGAS DE PUERTO BERRIO Y CHORRO E LAGRIMAS DE REMEDIOS Y DE OTRAS VEREDAS CERCANAS, LAS INTERVENCIONES REALIZADAS POR LA EMPRESA OCENSA EN SU PRIMERA FASE DE OBRAS EN ESTE TRAMO DE LA VIA. OCENSA INFORMO QUE EL AÑO ENTRANTE DARA INICIO A UNA SEGUNDA FASE QUE COMPRENDE LOS TRABAJOS Y OBRAS FALTANTES.</t>
  </si>
  <si>
    <t>27 febrero 2015 : SE REGISTRA LA PQRS EN EL APLICATIVO, PARA ENVIAR A LA SIF</t>
  </si>
  <si>
    <t>07 julio 2014 : PQRS ESCANEADA A FERNANDO.
29 agosto 2014 : CIERRE DE PQRS DURANTE RECORRIDO DE SECRETARIO, GERENTE OPERATIVO, DIRECTOR DE DESARROLLO FISICO Y SUPERVISOR.</t>
  </si>
  <si>
    <t>29 agosto 2014 : CIERRE DE PQRS DURANTE RECORRIDO DE SECRETARIO, GERENTE OPERATIVO, DIRECTOR DE DESARROLLO FISICO Y SUPERVISOR.
07 julio 2014 : PQRS ESCANEADA A FERNANDO
SE ENVIO PQRS ESCANEADA A DIR. GESTION SOCIAL SIF
SE ENVIO PQRS ESCANEADA A DIR. GESTION SOCIAL SIF</t>
  </si>
  <si>
    <t>08 octubre 2014 : SE ESTAN EJECUTANDO LAS OBRAS POR PARTE DEL CONTRATISTA
07 julio 2014 : PQRS ESCANEADA A FERNANDO
SE ENVIO PQRS ESCANEADA A DIR. GESTIÓN SOCIAL SIF
29 agosto 2014 : CIERRE DE PQRS DURANTE RECORRIDO DE SECRETARIO, GERENTE OPERATIVO, DIRECTOR DE DESARROLLO FISICO Y SUPERVISOR.
29 agosto 2014 : SE REALIZA RECORRIDO TECNICO Y SE VERIFICA INTERVENCION DE FALLAS POR PARTE DE INFRAME</t>
  </si>
  <si>
    <t>29 agosto 2014 : SE REALIZA RECORRIDO TECNICO Y SE VERIFICA INTERVENCION DE FALLAS POR PARTE DE INFRAME
29 agosto 2014 : CIERRE DE PQRS DURANTE RECORRIDO DE SECRETARIO, GERENTE OPERATIVO, DIRECTOR DE DESARROLLO FISICO Y SUPERVISOR.
07 julio 2014 : PQRS ESCANEADA A FERNANDO
Dir. Gestión Social SIF
08 octubre 2014 : SE ESTAN EJECUTANDO LAS OBRAS POR PARTE DEL CONTRATISTA</t>
  </si>
  <si>
    <t>01 agosto 2014 : SE ATIENDE LA PQRS CON MANTENIMIETO DE CUNETAS Y ROCERIA CON MAQUINARIA Y PERSONAL OPERATIVO, LLEVADA A CABO POR LOS INGENIEROS DEL CONSORCIO 022, DANDO POR TERMINADA ESTA PQRS</t>
  </si>
  <si>
    <t>05 enero 2015 : DE ACUERDO A LA ENTREGA DE OBRA REALIZADA EL DIA 17 DE DICIEMBRE DE 2014, CON LA REINAUGURACIÓN DEL PUENTE DE OCCIDENTE, CUENTA CON LOS PETICIONES ANTERIORMENTE MENCIONDAS YA RESUELTAS, ECEPTO LA VIGILANCIA QUE CORRE POR CUENTA DEL ACUERDO DE CADA MUNICIPIO (STA FE DE ANTIOQUIA Y OLAYA)
05 septiembre 2014 : SE CONFORMA VEEDURIA PARA TODOS LOS ASUNTOS DE LA PQRS</t>
  </si>
  <si>
    <t>La PQRS esta cerrada por evidencia de la Ejecución Puente en Hormigon, viga - losa, con una luz de 27 metros apoyado sobre estribos.</t>
  </si>
  <si>
    <t>12 al 19 de Enero</t>
  </si>
  <si>
    <r>
      <rPr>
        <b/>
        <sz val="8"/>
        <color theme="1"/>
        <rFont val="Calibri"/>
        <family val="2"/>
        <scheme val="minor"/>
      </rPr>
      <t xml:space="preserve">Trámite 2: 7 de Marzo 2015 </t>
    </r>
    <r>
      <rPr>
        <sz val="8"/>
        <color theme="1"/>
        <rFont val="Calibri"/>
        <family val="2"/>
        <scheme val="minor"/>
      </rPr>
      <t xml:space="preserve">
Respuesta
Era un punto crítico que presentaba una pérdida de banda de la vía, en una zona aledaña a lo largo del rio, con taludes muy pendientes, se recuperó la banca con contención de un muro en concreto reforzado, el cual es una obra de contención para la via no habilitada como zona peatonal, lo allí se presento fue un lamentable accidente por exceso de velocidad de un vehículo. 
</t>
    </r>
  </si>
  <si>
    <r>
      <rPr>
        <b/>
        <sz val="8"/>
        <color theme="1"/>
        <rFont val="Calibri"/>
        <family val="2"/>
        <scheme val="minor"/>
      </rPr>
      <t xml:space="preserve">Trámite3: 7 de Marzo 2015 </t>
    </r>
    <r>
      <rPr>
        <sz val="8"/>
        <color theme="1"/>
        <rFont val="Calibri"/>
        <family val="2"/>
        <scheme val="minor"/>
      </rPr>
      <t xml:space="preserve">
Se entregó informe de visita Técnica por parte de la María Katherine Roa, en el cual se hace puntualmente los sectores a intervenir, la PQRS está a la espera por porte de la aprobación y entrega de carta de respuesta oficial
</t>
    </r>
  </si>
  <si>
    <t>17 febrero 2015 : SE REPORTA PQRS A MARÍA KATHERINE ROA (INGENIERA APOYO DE LA DIRECCION DE DESARROLLO) QUIEN OPORTUNAMENTE SE COMUNICA CON EL SUPERVISOR ENCARGADO DE LA ZONA ORIENTE MAURICIO MORALES GÓMEZ, PROGRAMAN VISITA TÉCNICA PARA EVALUAR EL ESTADO DE LA VÍA EL DÍA JUEVES 19 DE FEBRERO, CONFORME A ESTO SE DARA RESPUESTA A LA SOLICITUD POR PARTE DE LA OFICINA DE PLANEACIÓN.</t>
  </si>
  <si>
    <r>
      <rPr>
        <b/>
        <sz val="8"/>
        <color theme="1"/>
        <rFont val="Calibri"/>
        <family val="2"/>
        <scheme val="minor"/>
      </rPr>
      <t>Trámite 4: 7 de Marzo 2015</t>
    </r>
    <r>
      <rPr>
        <sz val="8"/>
        <color theme="1"/>
        <rFont val="Calibri"/>
        <family val="2"/>
        <scheme val="minor"/>
      </rPr>
      <t xml:space="preserve">
En este punto crítico con este contrato 2013-OO-20-0023 solo se señalizó y RENTAN hiso algunas intervenciones, se programan estudios y diseños con el contrato de mantenimiento de oriente.
</t>
    </r>
  </si>
  <si>
    <r>
      <rPr>
        <b/>
        <sz val="8"/>
        <color theme="1"/>
        <rFont val="Calibri"/>
        <family val="2"/>
        <scheme val="minor"/>
      </rPr>
      <t>Trámite 4: 6 de Marzo 2015</t>
    </r>
    <r>
      <rPr>
        <sz val="8"/>
        <color theme="1"/>
        <rFont val="Calibri"/>
        <family val="2"/>
        <scheme val="minor"/>
      </rPr>
      <t xml:space="preserve">
Respuesta:
Con este contrato se hiso señalización horizontal de esta escuela y varias en el sector, acorde a los recursos disponibles para toda la subregión de oriente, en el próximo contrato de mantenimiento se evaluara la posibilidad de construir los reductores.
</t>
    </r>
  </si>
  <si>
    <t>27 enero 2015 : LLAMADA TELEFONICA DEL PRESIDENTE DE LA JUNTA DE ACCION COMUNAL INFORMANDO QUE LA SEÑALIZACION YA SE LLEVO A CABO 
Avance : SEÑALIZACION REALIZADA
05 enero 2015 : LLAMADA TELEFONICA A LA SOCIALDE INTERVENTORIA PARA RECORDARLE LA URGENCIA DE LAS I.E ANTES DE QUE INICIEN NUEVAMENTE CLASES LOS ESTUDIANTES
17 febrero 2015 : SE REPORTA PQRS AL INGENIERO ANDRES MAURICIO RODRIGUEZ COLLAZOS, ARGUMENTA QUE SE EJECUTO UNICAMENTE SEÑALIZACION HORIZONTAL EN LA ZONA YA EN EL PRESUPUESTO DEL CONTRATO NO SE PERMITIA ATENDER MAS GASTO, LA PQRS ESTA ABIERTA POR VERIFICAR SI SE CUBRIO LA TOTALIDAD DE LAS ZONAS SOLICITADAS.</t>
  </si>
  <si>
    <r>
      <rPr>
        <b/>
        <sz val="8"/>
        <color theme="1"/>
        <rFont val="Calibri"/>
        <family val="2"/>
        <scheme val="minor"/>
      </rPr>
      <t xml:space="preserve">Trámite 1: 3  de Marzo 2015 </t>
    </r>
    <r>
      <rPr>
        <sz val="8"/>
        <color theme="1"/>
        <rFont val="Calibri"/>
        <family val="2"/>
        <scheme val="minor"/>
      </rPr>
      <t xml:space="preserve">
Se reporta PQRS al Equipo de cables, comunican que efectivamente no se han ejecutado obras, posiblemente porque el municipio no ha cumplido con su parte del convenio, a la espera de la supervisora Gloria Gómez quien es la directamente encargada de la zona por informar.
</t>
    </r>
    <r>
      <rPr>
        <b/>
        <sz val="8"/>
        <color theme="1"/>
        <rFont val="Calibri"/>
        <family val="2"/>
        <scheme val="minor"/>
      </rPr>
      <t xml:space="preserve">Trámite 2: 7  de Marzo 2015
</t>
    </r>
    <r>
      <rPr>
        <sz val="8"/>
        <color theme="1"/>
        <rFont val="Calibri"/>
        <family val="2"/>
        <scheme val="minor"/>
      </rPr>
      <t xml:space="preserve">Las Obras estan siendo ejecutadas por la SIF atraves de la Gerencia de Serviios Publicos </t>
    </r>
  </si>
  <si>
    <t>Por iniciar</t>
  </si>
  <si>
    <r>
      <rPr>
        <b/>
        <sz val="8"/>
        <color theme="1"/>
        <rFont val="Calibri"/>
        <family val="2"/>
        <scheme val="minor"/>
      </rPr>
      <t xml:space="preserve">Trámite 5: 10 de Marzo 2015  </t>
    </r>
    <r>
      <rPr>
        <sz val="8"/>
        <color theme="1"/>
        <rFont val="Calibri"/>
        <family val="2"/>
        <scheme val="minor"/>
      </rPr>
      <t xml:space="preserve">
Se está Gestionando la visita por parte del supervisor Omar Acevedo, con el solicitante y la dirección de Valorización.
</t>
    </r>
  </si>
  <si>
    <r>
      <rPr>
        <b/>
        <sz val="8"/>
        <color theme="1"/>
        <rFont val="Calibri"/>
        <family val="2"/>
        <scheme val="minor"/>
      </rPr>
      <t xml:space="preserve">Trámite 1: 10 de Marzo 2015 </t>
    </r>
    <r>
      <rPr>
        <sz val="8"/>
        <color theme="1"/>
        <rFont val="Calibri"/>
        <family val="2"/>
        <scheme val="minor"/>
      </rPr>
      <t xml:space="preserve">
Se reporta PQRS a la dirección de Valorización, el supervisor Omar Alexander está a la espera de recibir vía correo la información del caso, se le dará respuesta según lo presentado anteriormente en el levantamiento catastral que se hizo en su momento la dirección de valorización, el solicitante es el encargado de resolver el asunto sobre la hipoteca del previo, luego el tramite tendrá que ser tramitado en la SIF. PQRS a la espera de respuesta oficial por parte del supervisor Omar. </t>
    </r>
  </si>
  <si>
    <r>
      <rPr>
        <b/>
        <sz val="8"/>
        <color theme="1"/>
        <rFont val="Calibri"/>
        <family val="2"/>
        <scheme val="minor"/>
      </rPr>
      <t>Trámite 2: 10 de Marzo 2015</t>
    </r>
    <r>
      <rPr>
        <sz val="8"/>
        <color theme="1"/>
        <rFont val="Calibri"/>
        <family val="2"/>
        <scheme val="minor"/>
      </rPr>
      <t xml:space="preserve">
Se envía Carta de Respuesta de las PQRS, a la espera  de firma y aprobación de los directivos
</t>
    </r>
  </si>
  <si>
    <r>
      <rPr>
        <b/>
        <sz val="8"/>
        <color theme="1"/>
        <rFont val="Calibri"/>
        <family val="2"/>
        <scheme val="minor"/>
      </rPr>
      <t>Tramite 2: 10 de Marzo</t>
    </r>
    <r>
      <rPr>
        <sz val="8"/>
        <color theme="1"/>
        <rFont val="Calibri"/>
        <family val="2"/>
        <scheme val="minor"/>
      </rPr>
      <t xml:space="preserve">
Se consulta PQRS con el supervisor Juan Fernando Franco Uribe, informa que se hizo una socialización donde se comentó la situación con la comunidad respecto a las medidas a tomar, a la espera de que el envié un oficio con la respuesta oficial.
</t>
    </r>
  </si>
  <si>
    <r>
      <rPr>
        <b/>
        <sz val="8"/>
        <color theme="1"/>
        <rFont val="Calibri"/>
        <family val="2"/>
        <scheme val="minor"/>
      </rPr>
      <t>Tramite 5: 6 de Marzo 2015</t>
    </r>
    <r>
      <rPr>
        <sz val="8"/>
        <color theme="1"/>
        <rFont val="Calibri"/>
        <family val="2"/>
        <scheme val="minor"/>
      </rPr>
      <t xml:space="preserve">
R./ Debido a que el plazo contractual del proyecto se vence el 31 de diciembre de 2015, a la fecha no se ha dado recibo de obra a ninguna de las vías intervenidas y por ende existen algunos trabajadores y empleados a los cuales aún no se les ha realizado la liquidación de su contrato. Más sin embargo, la interventoría y la Supervisión del contrato han venido realizando un seguimiento al pago de las obligaciones al personal empleado en las diferentes obras; solicitando los certificados de paz y salvo de todo el personal como requisito ineludible para el posterior recibo de obra.
</t>
    </r>
  </si>
  <si>
    <t xml:space="preserve"> Álvaro Ríos </t>
  </si>
  <si>
    <t>Elizabeth Trujillo</t>
  </si>
  <si>
    <t xml:space="preserve"> Edier Alonso López Velásquez</t>
  </si>
  <si>
    <t xml:space="preserve"> Andrés Mauricio Rodríguez Collazos</t>
  </si>
  <si>
    <t xml:space="preserve"> Elizabeth Trujillo Vásquez</t>
  </si>
  <si>
    <r>
      <rPr>
        <b/>
        <sz val="8"/>
        <color theme="1"/>
        <rFont val="Calibri"/>
        <family val="2"/>
        <scheme val="minor"/>
      </rPr>
      <t>Tramite 2: 10 de Marzo</t>
    </r>
    <r>
      <rPr>
        <sz val="8"/>
        <color theme="1"/>
        <rFont val="Calibri"/>
        <family val="2"/>
        <scheme val="minor"/>
      </rPr>
      <t xml:space="preserve">
Se envia Carta Respuesta al Gestor Social</t>
    </r>
  </si>
  <si>
    <r>
      <rPr>
        <b/>
        <sz val="8"/>
        <color theme="1"/>
        <rFont val="Calibri"/>
        <family val="2"/>
        <scheme val="minor"/>
      </rPr>
      <t>Trámite 5: 11 de Marzo 2015</t>
    </r>
    <r>
      <rPr>
        <sz val="8"/>
        <color theme="1"/>
        <rFont val="Calibri"/>
        <family val="2"/>
        <scheme val="minor"/>
      </rPr>
      <t xml:space="preserve">
Se comunica nuevamente con Amalia para identificar el estado actual de las respectivas peticiones, aún se está esperando la evidencia del pago que aún no se hace efectivo, se informa que en el proceso interno del contratista es demorado en ese aspecto, pero que si se va a pagar, mas sin embargo la Social de Interventoría estará comunicándose y espera que se haga el pago en esta quincena.
</t>
    </r>
  </si>
  <si>
    <t>25 septiembre 2014 : LA INTERVENTORIA NOS ENVIA DOCUMENTO CON FOTOS Y BORRADOR DE OFICIOPENDIENTE PARA SER APROBADO POR LA SIF DE LA GOBERNACION PARA SER RESUELTA LA P.Q.R.S
12 agosto 2014 : LA INTERVENTORA SOCIAL MARIANA CASTILLO SE COMUNICA CON LA GESTORA SOCIAL NIDIA VASQUEZ PARA VERIFICAR EL HECHO Y HACER LA VERIFICACION DE LA INQUIETUD
07 agosto 2014 : ENVIAR CORREO ELCTRONICO AL INTERVERVENTORIA CON EL REPORTE Y FOTOS DEL HECHO.
20 febrero 2015 : REUNION PARA CIERRE DE QUEJA
07 enero 2015 : SEGUMIENTO PARA CIERRE EN REUNION CON LA INTERVENTORIA</t>
  </si>
  <si>
    <r>
      <rPr>
        <b/>
        <sz val="8"/>
        <color theme="1"/>
        <rFont val="Calibri"/>
        <family val="2"/>
        <scheme val="minor"/>
      </rPr>
      <t>Trámite 3: 3 de Marzo 2015</t>
    </r>
    <r>
      <rPr>
        <sz val="8"/>
        <color theme="1"/>
        <rFont val="Calibri"/>
        <family val="2"/>
        <scheme val="minor"/>
      </rPr>
      <t xml:space="preserve">
Se elaboro respuesta por escrito con la supervisora Claudia Andrea Borrego García, se enviara a Gestor Social. A la espera de la entrega por parte de la Gestora Social</t>
    </r>
  </si>
  <si>
    <t>3 al 9 de Marzo</t>
  </si>
  <si>
    <t>Puente Iglesias (Ruta 25B01) - La Ye - Jericó</t>
  </si>
  <si>
    <t>ALIER NAVARRO CORONADO</t>
  </si>
  <si>
    <t>LA EMPRESA CELSI, ESTA REALIZANDO TRABAJOS DE MANTENIMIENTO SOBRE LA VIA LA YE - JERICO, A PARTIR DEL KILOMETRO 5 EN ADELANTE. LA EMPRESA ESTA REALIZANDO INTERVENCIONES QUE INCLUYEN OBRAS EXISTENTES EN LA VIA Y SU RESPECTIVA DEMOLICION, SIN AUTORIZACION Y CONOCIMIENTO DE LA SECRETARIA DE INFRAESTRUCTURA FISICA DE LA GOBERNACION DE ANTIOQUIA, LO CUAL PROVOCA DISMUNICION EN EL ANCHO DE LA CALZADA, CON LA DEMOLICION DE LA ALCANTARILLA EXISTENTE Y LA CONSTRUCCION DE UN SUPUESTO CANAL EN CONCRETO DE SECCION SUPERIOR ABIERTA QUE PROVOCARIA TAPONAMIENTO ANTE DESLIZAMIENTO DE TIERRAS, LA ANTERIOR INFORMACION DE LO QUE SE VA A CONSTRUIR FUE SUMINISTRATADA POR EL INSPECTOD DE OBRA DE CELSIA, EL SEÑOR GILDARDO VILLEGAS, CEL: 310-892-01-98.</t>
  </si>
  <si>
    <t>Caldas - Angelópolis</t>
  </si>
  <si>
    <t>JHON FREDY GOZALEZ</t>
  </si>
  <si>
    <t>EN LA TARDE DEL DOMINGO EL AUXILIAR DE PLANEACION DEL MUNICIPIO. LLAMO PARA REGISTRAR DAÑOS OCASIONADOS EN LA PLANTA DE TRATAMIENTO DE AGUAS RESIDUALES DEL MUNICIPIO A CAUSA DEL MATERIAL DE ARRASTRE QUE ESTA LLEGANDO HASTA LA PLANTA A TRAVES DE LOS SUMIDEROS UBICADOS EN EL SECTOR HORIZONTES, A LA ENTREDA DEL MUNIICPIO. CABE ANOTAR QUE LA REDE DEL MUNICIPIO SON MIXTAS, LO QUE HACE QUE TODAS LAS AGUAS LLUVIAS LLEGUEN A LA PLANTA Y SE PRESENTE DICHA DIFICULTAD.
ESPERAN QUE LA GOBERNACION ATIENDA EL CASO, PUES LA VÍA DONDE SE PRESENTA LA DIFICULTAD ES SECUNDARIA Y EL AÑO PASADO FUE INTERVENIDA, PERO POR RAZONES QUE NO TIENEN CLARO EN LA ADMINISRACION SUSPENDIERON LAS ACTIVIDADES. AÑADE EL SECRETARIO DE PLANEACION QUE TIENE EN CUSTODIA VARIOS TARROS DE CONAID, A LA ESPERA DE LA PROXIMA INTERVENCION.</t>
  </si>
  <si>
    <r>
      <rPr>
        <b/>
        <sz val="8"/>
        <color theme="1"/>
        <rFont val="Calibri"/>
        <family val="2"/>
        <scheme val="minor"/>
      </rPr>
      <t>Trámite 5: 11 de Marzo 2015</t>
    </r>
    <r>
      <rPr>
        <sz val="8"/>
        <color theme="1"/>
        <rFont val="Calibri"/>
        <family val="2"/>
        <scheme val="minor"/>
      </rPr>
      <t xml:space="preserve">
Se comunica nuevamente con Amalia para identificar el estado actual de las respectivas peticiones, comunica que ha hablado con la JAC y que el contratista ya se ha pronunciado,  efectivamente han contratado mano de obra de la zona más sin embargo la JAC dice no estar de acuerdo con los criterios de contratación
</t>
    </r>
  </si>
  <si>
    <r>
      <rPr>
        <b/>
        <sz val="8"/>
        <color theme="1"/>
        <rFont val="Calibri"/>
        <family val="2"/>
        <scheme val="minor"/>
      </rPr>
      <t xml:space="preserve">Trámite 2: 6 de Marzo 2015 </t>
    </r>
    <r>
      <rPr>
        <sz val="8"/>
        <color theme="1"/>
        <rFont val="Calibri"/>
        <family val="2"/>
        <scheme val="minor"/>
      </rPr>
      <t xml:space="preserve">
El ingeniero Edier Alonso López Velásquez, reporta que no es su competencia responder la PQRS y recomienda que todas aquellas sean resueltas con el supervisor Auguto Rico.
</t>
    </r>
    <r>
      <rPr>
        <b/>
        <sz val="8"/>
        <color theme="1"/>
        <rFont val="Calibri"/>
        <family val="2"/>
        <scheme val="minor"/>
      </rPr>
      <t xml:space="preserve">
Trámite 3: 13 de Marzo 2015 </t>
    </r>
    <r>
      <rPr>
        <sz val="8"/>
        <color theme="1"/>
        <rFont val="Calibri"/>
        <family val="2"/>
        <scheme val="minor"/>
      </rPr>
      <t xml:space="preserve">
El  Supervisor  Edier Alonso López Velásquez  realiza visita al sector, a la espera de  dar respuesta oficial respecto a la solicitud
</t>
    </r>
  </si>
  <si>
    <r>
      <rPr>
        <b/>
        <sz val="8"/>
        <color theme="1"/>
        <rFont val="Calibri"/>
        <family val="2"/>
        <scheme val="minor"/>
      </rPr>
      <t>Trámite 5: 13 de Marzo 2015</t>
    </r>
    <r>
      <rPr>
        <sz val="8"/>
        <color theme="1"/>
        <rFont val="Calibri"/>
        <family val="2"/>
        <scheme val="minor"/>
      </rPr>
      <t xml:space="preserve">
Se redacta carta respuesta, a la espera de a aprobación por parte de las directivas.
</t>
    </r>
  </si>
  <si>
    <t>RESPUESTA 17/03/2016</t>
  </si>
  <si>
    <r>
      <rPr>
        <b/>
        <sz val="8"/>
        <color theme="1"/>
        <rFont val="Calibri"/>
        <family val="2"/>
        <scheme val="minor"/>
      </rPr>
      <t>Trámite 2: 13 de Marzo 2015</t>
    </r>
    <r>
      <rPr>
        <sz val="8"/>
        <color theme="1"/>
        <rFont val="Calibri"/>
        <family val="2"/>
        <scheme val="minor"/>
      </rPr>
      <t xml:space="preserve">
Se redacta carta respuesta, a la espera de a aprobación por parte de las directivas.
</t>
    </r>
  </si>
  <si>
    <r>
      <rPr>
        <b/>
        <sz val="8"/>
        <color theme="1"/>
        <rFont val="Calibri"/>
        <family val="2"/>
        <scheme val="minor"/>
      </rPr>
      <t>Trámite 1: 13 de Marzo 2015</t>
    </r>
    <r>
      <rPr>
        <sz val="8"/>
        <color theme="1"/>
        <rFont val="Calibri"/>
        <family val="2"/>
        <scheme val="minor"/>
      </rPr>
      <t xml:space="preserve">
Se redacta carta respuesta, a la espera de a aprobación por parte de las directivas.
</t>
    </r>
  </si>
  <si>
    <r>
      <rPr>
        <b/>
        <sz val="8"/>
        <color theme="1"/>
        <rFont val="Calibri"/>
        <family val="2"/>
        <scheme val="minor"/>
      </rPr>
      <t xml:space="preserve">Trámite 1: 6 de Marzo 2015 
</t>
    </r>
    <r>
      <rPr>
        <sz val="8"/>
        <color theme="1"/>
        <rFont val="Calibri"/>
        <family val="2"/>
        <scheme val="minor"/>
      </rPr>
      <t xml:space="preserve">Se reporta PQRS al supervisor Mauricio Morales Gómez, dice que el contrato de mantenimiento no estaba encargado de realizar dicha demarcación vertical en la vía, mas sin embargo recomienda preguntarle a la Supervisora María del Rosario Palacios para verificar si dicha demarcación se concibe en el presupuesto, también se verificará en planeación el estado de dicha señalización.
</t>
    </r>
    <r>
      <rPr>
        <b/>
        <sz val="8"/>
        <color theme="1"/>
        <rFont val="Calibri"/>
        <family val="2"/>
        <scheme val="minor"/>
      </rPr>
      <t xml:space="preserve">Trámite 2: 7 de Marzo 2015 </t>
    </r>
    <r>
      <rPr>
        <sz val="8"/>
        <color theme="1"/>
        <rFont val="Calibri"/>
        <family val="2"/>
        <scheme val="minor"/>
      </rPr>
      <t xml:space="preserve">
Se reporta PQRS al supervisor Álvaro Ríos e informa que se está haciendo verificación de la señalización vertical y verificación de los  postes, para hacer un oficio requerimiento a la interventoría respecto a dichos elementos que no cumplen, el supervisor estará de visita a la zona en 15 días, adjuntará copia del oficio en el momento de terminar el recorrido de verificación.
</t>
    </r>
  </si>
  <si>
    <r>
      <rPr>
        <b/>
        <sz val="8"/>
        <color theme="1"/>
        <rFont val="Calibri"/>
        <family val="2"/>
        <scheme val="minor"/>
      </rPr>
      <t>Trámite 3: 13 de Marzo 2015</t>
    </r>
    <r>
      <rPr>
        <sz val="8"/>
        <color theme="1"/>
        <rFont val="Calibri"/>
        <family val="2"/>
        <scheme val="minor"/>
      </rPr>
      <t xml:space="preserve">
Se redacta carta respuesta, a la espera de a aprobación por parte de las directivas.
</t>
    </r>
  </si>
  <si>
    <r>
      <rPr>
        <b/>
        <sz val="8"/>
        <color theme="1"/>
        <rFont val="Calibri"/>
        <family val="2"/>
        <scheme val="minor"/>
      </rPr>
      <t>Tramite 2: 11 de Marzo 2015</t>
    </r>
    <r>
      <rPr>
        <sz val="8"/>
        <color theme="1"/>
        <rFont val="Calibri"/>
        <family val="2"/>
        <scheme val="minor"/>
      </rPr>
      <t xml:space="preserve">
Cerrado por recibido de atisfacción de la Gestora Social en campo</t>
    </r>
  </si>
  <si>
    <r>
      <rPr>
        <b/>
        <sz val="8"/>
        <color theme="1"/>
        <rFont val="Calibri"/>
        <family val="2"/>
        <scheme val="minor"/>
      </rPr>
      <t>Trámite 1: 7 de Marzo</t>
    </r>
    <r>
      <rPr>
        <sz val="8"/>
        <color theme="1"/>
        <rFont val="Calibri"/>
        <family val="2"/>
        <scheme val="minor"/>
      </rPr>
      <t xml:space="preserve">
Se reporta PQRS a Edier Alonso López Velásquez, dice que se debe hacer una visita técnica para verificar la viabilidad de la solicitud, si compete atender la bahía como  parte a lo que corresponde al presupuesto para la vía secundaria.</t>
    </r>
    <r>
      <rPr>
        <sz val="8"/>
        <color theme="1"/>
        <rFont val="Calibri"/>
        <family val="2"/>
        <scheme val="minor"/>
      </rPr>
      <t xml:space="preserve">
</t>
    </r>
  </si>
  <si>
    <r>
      <rPr>
        <b/>
        <sz val="8"/>
        <color theme="1"/>
        <rFont val="Calibri"/>
        <family val="2"/>
        <scheme val="minor"/>
      </rPr>
      <t>Trámite 1: 7 de Marzo</t>
    </r>
    <r>
      <rPr>
        <sz val="8"/>
        <color theme="1"/>
        <rFont val="Calibri"/>
        <family val="2"/>
        <scheme val="minor"/>
      </rPr>
      <t xml:space="preserve">
Se reporta PQRS a Edier Alonso López Velásquez, dice que primeramente se hará una solicitud por oficio a la Dirección de Transito Departamental, para visita técnica donde se especificará la viabilidad de la construcción de resaltos, como segundo trámite el supervisor Augusto Libardo Rico dice que si en caso tal los resaltos se conciban, el contrato de puntos críticos  tiene la realización de un muro en la zona  y los resaltos pueden ser atendidos por este medio.
</t>
    </r>
    <r>
      <rPr>
        <sz val="8"/>
        <color theme="1"/>
        <rFont val="Calibri"/>
        <family val="2"/>
        <scheme val="minor"/>
      </rPr>
      <t xml:space="preserve">
</t>
    </r>
  </si>
  <si>
    <r>
      <rPr>
        <b/>
        <sz val="8"/>
        <color theme="1"/>
        <rFont val="Calibri"/>
        <family val="2"/>
        <scheme val="minor"/>
      </rPr>
      <t xml:space="preserve">Trámite 2: 13 de Marzo 2015 </t>
    </r>
    <r>
      <rPr>
        <sz val="8"/>
        <color theme="1"/>
        <rFont val="Calibri"/>
        <family val="2"/>
        <scheme val="minor"/>
      </rPr>
      <t xml:space="preserve">
El  Supervisor  Edier Alonso López Velásquez  realiza visita al sector, a la espera de  dar respuesta oficial respecto a la solicitud</t>
    </r>
  </si>
  <si>
    <r>
      <rPr>
        <b/>
        <sz val="8"/>
        <color theme="1"/>
        <rFont val="Calibri"/>
        <family val="2"/>
        <scheme val="minor"/>
      </rPr>
      <t xml:space="preserve">Trámite 3: 13 de Marzo 2015 </t>
    </r>
    <r>
      <rPr>
        <sz val="8"/>
        <color theme="1"/>
        <rFont val="Calibri"/>
        <family val="2"/>
        <scheme val="minor"/>
      </rPr>
      <t xml:space="preserve">
El  Supervisor  Edier Alonso López Velásquez  realiza visita al sector, a la espera de  dar respuesta oficial respecto a la solicitud</t>
    </r>
  </si>
  <si>
    <r>
      <rPr>
        <b/>
        <sz val="8"/>
        <color theme="1"/>
        <rFont val="Calibri"/>
        <family val="2"/>
        <scheme val="minor"/>
      </rPr>
      <t xml:space="preserve">Trámite 3: 16 de Marzo 2015 
</t>
    </r>
    <r>
      <rPr>
        <sz val="8"/>
        <color theme="1"/>
        <rFont val="Calibri"/>
        <family val="2"/>
        <scheme val="minor"/>
      </rPr>
      <t>Se reporta PQRS a la supervisora María Del Rosario Palacio Sánchez, entrega los recibos, la PQRS está abierta por verificar la información. Se envía recibos al supervisor y se verificará con el solicitante.</t>
    </r>
    <r>
      <rPr>
        <b/>
        <sz val="8"/>
        <color theme="1"/>
        <rFont val="Calibri"/>
        <family val="2"/>
        <scheme val="minor"/>
      </rPr>
      <t xml:space="preserve">
</t>
    </r>
  </si>
  <si>
    <r>
      <rPr>
        <b/>
        <sz val="8"/>
        <color theme="1"/>
        <rFont val="Calibri"/>
        <family val="2"/>
        <scheme val="minor"/>
      </rPr>
      <t xml:space="preserve">Trámite 1: 16 de Marzo 2015 </t>
    </r>
    <r>
      <rPr>
        <sz val="8"/>
        <color theme="1"/>
        <rFont val="Calibri"/>
        <family val="2"/>
        <scheme val="minor"/>
      </rPr>
      <t xml:space="preserve">
Esperando revisión de la respectiva carta de respuesta por parte del supervisor.
</t>
    </r>
  </si>
  <si>
    <r>
      <rPr>
        <b/>
        <sz val="8"/>
        <color theme="1"/>
        <rFont val="Calibri"/>
        <family val="2"/>
        <scheme val="minor"/>
      </rPr>
      <t>Trámite 2: 16 de Marzo 2015</t>
    </r>
    <r>
      <rPr>
        <sz val="8"/>
        <color theme="1"/>
        <rFont val="Calibri"/>
        <family val="2"/>
        <scheme val="minor"/>
      </rPr>
      <t xml:space="preserve">
Se reporta PQRS a María del Rosario Palacios, el Gerente Operativo aun no contesta el correo, la supervisora está a la espera igualmente de su respuesta, para programar o no la intervención.
</t>
    </r>
  </si>
  <si>
    <t>El Bobal - San Pedro de Urabá</t>
  </si>
  <si>
    <t>ELIECER RAMOS</t>
  </si>
  <si>
    <t>EN DIRECCION EL BOBAL SAN PEDRO DE URABA, 102 METROS ANTES DEL PUENTE NO SE HA APLICADO MATERIAL DE AFIRMADO, EN EL MOMENTO DE LAS LLUVIAS IMPEDIRA Y PONDRA EN RIESGO EL TRANSITO VEHICULAR</t>
  </si>
  <si>
    <t>GEORGINA FUENTES MORA</t>
  </si>
  <si>
    <t>LA CANTERA LUCITANIA, PREDIO PRIVADO, DEL QUE SE EXTRAJO MATERIAL PARA LA OBRA DEL PUENTE MULATOS NO SE HA REVEGETALIZADO, SOLICITA QUE SE REALICE Y SE TENGA EN CUENTA LA COMUNIDAD.  LA REFORESTACION DE LA BANCA DEL RIO EN UN TRAMO DE 500 METROS LINEALES A AMBOS LADOS, NO SE HA REVEGETALIZADO, SOLICITA QUE SE HAGA Y QUE PARA LAS OBRAS SE TENGA EN CUENTA LA COMUNIDAD.</t>
  </si>
  <si>
    <t>10 al 16 de Marzo</t>
  </si>
  <si>
    <r>
      <rPr>
        <b/>
        <sz val="8"/>
        <color rgb="FF000000"/>
        <rFont val="Calibri"/>
        <family val="2"/>
        <scheme val="minor"/>
      </rPr>
      <t>Trámite 1: 10 de Marzo 2015</t>
    </r>
    <r>
      <rPr>
        <sz val="8"/>
        <color rgb="FF000000"/>
        <rFont val="Calibri"/>
        <family val="2"/>
        <scheme val="minor"/>
      </rPr>
      <t xml:space="preserve">
El supervisor no estaba disponible debido a una calamidad domestica</t>
    </r>
  </si>
  <si>
    <t>Trámite 3: 17 de Marzo de 2015 
Respuesta del correo que se envió a la Interventoría 
estas intervenciones no se tienen previstas para los recursos designados para el 2015, por lo tanto la SIF, debe defirnir estas actividades de obra.</t>
  </si>
  <si>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Estas intervenciones no se tienen previstas para los recursos designados el 2015, por lo tanto la SIF, debe defirnir estas actividades de obra.así mismo si la SIF autoriza estas intervenciones se sugiere se informe las abscisas para realizar la debida evaluación y definir las actividades de obra a ejecutar.                              </t>
    </r>
  </si>
  <si>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Estas intervenciones no se tienen previstas para los recursos designados el 2015, por lo tanto la SIF, debe defirnir estas actividades de obra. Así mismo si la SIF autoriza estas intervenciones se sugiere se informe las abscisas para realizar la debida evaluación y definir las actividades de obra a ejecutar.                              </t>
    </r>
  </si>
  <si>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Estas intervenciones no se tienen previstas para los recursos designados el 2015, por lo tanto la SIF, debe defirnir estas actividades de obra. así mismo si la SIF autoriza estas intervenciones se sugiere se informe las abscisas para realizar la debida evaluación y definir las actividades de obra a ejecutar.                              </t>
    </r>
  </si>
  <si>
    <r>
      <rPr>
        <b/>
        <sz val="8"/>
        <color theme="1"/>
        <rFont val="Calibri"/>
        <family val="2"/>
        <scheme val="minor"/>
      </rPr>
      <t>Trámite 3: 17 de Marzo de 2015</t>
    </r>
    <r>
      <rPr>
        <sz val="8"/>
        <color theme="1"/>
        <rFont val="Calibri"/>
        <family val="2"/>
        <scheme val="minor"/>
      </rPr>
      <t xml:space="preserve"> 
Respuesta del correo que se envió a la Interventoría 
Estas intervenciones no se tienen previstas para los recursos designados el 2015, por lo tanto la SIF, debe defirnir estas actividades de obra.   así mismo si la SIF autoriza estas intervenciones se sugiere se informe las abscisas para realizar la debida evaluación y definir las actividades de obra a ejecutar.                              </t>
    </r>
  </si>
  <si>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Estas intervenciones no se tienen previstas para los recursos designados el 2015, por lo tanto la SIF, debe defirnir estas actividades de obra.   así mismo si la SIF autoriza estas intervenciones se sugiere se informe las abscisas para realizar la debida evaluación y definir las actividades de obra a ejecutar.                              </t>
    </r>
  </si>
  <si>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Estas intervenciones no se tienen previstas para los recursos designados el 2015, por lo tanto la SIF, debe defirnir estas actividades de obra. 
 Así mismo si la SIF autoriza estas intervenciones se sugiere se informe las abscisas para realizar la debida evaluación y definir las actividades de obra a ejecutar.                              </t>
    </r>
  </si>
  <si>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Estas intervenciones no se tienen previstas para los recursos designados para el 2015, por lo tanto la SIF, debe defirnir estas actividades de obra.</t>
    </r>
  </si>
  <si>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ya se realizó  esta gestion </t>
    </r>
  </si>
  <si>
    <r>
      <rPr>
        <b/>
        <sz val="8"/>
        <color theme="1"/>
        <rFont val="Calibri"/>
        <family val="2"/>
        <scheme val="minor"/>
      </rPr>
      <t xml:space="preserve">Trámite 3: 17 de Marzo de 2015 </t>
    </r>
    <r>
      <rPr>
        <sz val="8"/>
        <color theme="1"/>
        <rFont val="Calibri"/>
        <family val="2"/>
        <scheme val="minor"/>
      </rPr>
      <t xml:space="preserve">
Respuesta del correo que se envió a la Interventoría 
El consorcio suroeste 023 no ha realizado intervenciones en esta vía</t>
    </r>
  </si>
  <si>
    <r>
      <rPr>
        <b/>
        <sz val="8"/>
        <rFont val="Calibri"/>
        <family val="2"/>
        <scheme val="minor"/>
      </rPr>
      <t xml:space="preserve">Trámite 3: 17 de Marzo de 2015 </t>
    </r>
    <r>
      <rPr>
        <sz val="8"/>
        <rFont val="Calibri"/>
        <family val="2"/>
        <scheme val="minor"/>
      </rPr>
      <t xml:space="preserve">
Respuesta del correo que se envió a la Interventoría 
Estas intervenciones no se tienen previstas para los recursos designados para el 2015, por lo tanto la SIF, debe defirnir estas actividades de obra.</t>
    </r>
  </si>
  <si>
    <r>
      <rPr>
        <b/>
        <sz val="8"/>
        <color rgb="FF000000"/>
        <rFont val="Calibri"/>
        <family val="2"/>
        <scheme val="minor"/>
      </rPr>
      <t xml:space="preserve">Trámite 1: 17 de Marzo
</t>
    </r>
    <r>
      <rPr>
        <sz val="8"/>
        <color rgb="FF000000"/>
        <rFont val="Calibri"/>
        <family val="2"/>
        <scheme val="minor"/>
      </rPr>
      <t>Se reporta PQRS a Henry Javier Vergara Prada, la solicitud está a la espera de la entrega de recursos por parte de Regalías, en el momento no se puede dar una respuesta concisa  respecto a las fechas y o ejecución de la obra.</t>
    </r>
    <r>
      <rPr>
        <b/>
        <sz val="8"/>
        <color rgb="FF000000"/>
        <rFont val="Calibri"/>
        <family val="2"/>
        <scheme val="minor"/>
      </rPr>
      <t xml:space="preserve">
</t>
    </r>
  </si>
  <si>
    <r>
      <t xml:space="preserve">
Trámite 1: 17 de Marzo
</t>
    </r>
    <r>
      <rPr>
        <sz val="8"/>
        <color rgb="FF000000"/>
        <rFont val="Calibri"/>
        <family val="2"/>
        <scheme val="minor"/>
      </rPr>
      <t>Se reporta PQRS a María del Rosario Palacios, se hará visita el día 18 de Marzo en compañía de la Gestión Social de Urabá.</t>
    </r>
    <r>
      <rPr>
        <b/>
        <sz val="8"/>
        <color rgb="FF000000"/>
        <rFont val="Calibri"/>
        <family val="2"/>
        <scheme val="minor"/>
      </rPr>
      <t xml:space="preserve">
</t>
    </r>
  </si>
  <si>
    <t>RESPUESTA 24/03/2017</t>
  </si>
  <si>
    <r>
      <rPr>
        <b/>
        <sz val="8"/>
        <color theme="1"/>
        <rFont val="Calibri"/>
        <family val="2"/>
        <scheme val="minor"/>
      </rPr>
      <t xml:space="preserve">Trámite 2: 18 de Marzo 2015 </t>
    </r>
    <r>
      <rPr>
        <sz val="8"/>
        <color theme="1"/>
        <rFont val="Calibri"/>
        <family val="2"/>
        <scheme val="minor"/>
      </rPr>
      <t xml:space="preserve">
Se reporta PQRS al  Gabriel al ingeniero Gabriel Olaya e informa que la obra se terminó hace un mes, la PQRS esta toma en el mes de diciembre mucho antes de finalizar la obra, en el proceso de liquidar el contrato todas las actas debieron se firmadas a satisfacción, el INVIAS ya cedió la vía a la Secretaria de Infraestructura Física, La PQRS está abierta a la espera de verificar la intervención y dar respuesta entorno a la misma.
</t>
    </r>
  </si>
  <si>
    <r>
      <rPr>
        <b/>
        <sz val="8"/>
        <color theme="1"/>
        <rFont val="Calibri"/>
        <family val="2"/>
        <scheme val="minor"/>
      </rPr>
      <t>Trámite 1: 19 de Marzo 2015</t>
    </r>
    <r>
      <rPr>
        <sz val="8"/>
        <color theme="1"/>
        <rFont val="Calibri"/>
        <family val="2"/>
        <scheme val="minor"/>
      </rPr>
      <t xml:space="preserve">
Se redacta carta respuesta, a la espera de a aprobación por parte de las directivas.</t>
    </r>
  </si>
  <si>
    <r>
      <rPr>
        <b/>
        <sz val="8"/>
        <color theme="1"/>
        <rFont val="Calibri"/>
        <family val="2"/>
        <scheme val="minor"/>
      </rPr>
      <t xml:space="preserve">Trámite 6: 19 de Marzo 2015  </t>
    </r>
    <r>
      <rPr>
        <sz val="8"/>
        <color theme="1"/>
        <rFont val="Calibri"/>
        <family val="2"/>
        <scheme val="minor"/>
      </rPr>
      <t xml:space="preserve">
Se realizó la visita al predio del señor, en la indagación se llega a la conclusión de que el señor si es propietario en parte del predio, la PQRS ya se da por atendida, ahora es el señor quien debe hacer los trámites para hacer efectivo la solicitud. Se pide copia del acta con recibo a satisfacción por parte de la dirección de valorización.
</t>
    </r>
  </si>
  <si>
    <r>
      <rPr>
        <b/>
        <sz val="8"/>
        <color theme="1"/>
        <rFont val="Calibri"/>
        <family val="2"/>
        <scheme val="minor"/>
      </rPr>
      <t>Trámite 4: 20 de Marzo 2015</t>
    </r>
    <r>
      <rPr>
        <sz val="8"/>
        <color theme="1"/>
        <rFont val="Calibri"/>
        <family val="2"/>
        <scheme val="minor"/>
      </rPr>
      <t xml:space="preserve">
Se redacta carta respuesta, a la espera de a aprobación por parte de las directivas.</t>
    </r>
  </si>
  <si>
    <r>
      <rPr>
        <b/>
        <sz val="8"/>
        <color theme="1"/>
        <rFont val="Calibri"/>
        <family val="2"/>
        <scheme val="minor"/>
      </rPr>
      <t>Trámite 1: 20 de marzo 2015</t>
    </r>
    <r>
      <rPr>
        <sz val="8"/>
        <color theme="1"/>
        <rFont val="Calibri"/>
        <family val="2"/>
        <scheme val="minor"/>
      </rPr>
      <t xml:space="preserve">
Se reporta PQRS al supervisor Hernán Giraldo Atehortúa e informa que ya se evaluó el punto, se hiso un diagnóstico de las alternativa y están el etapa de ejecutar la solución definida.
</t>
    </r>
  </si>
  <si>
    <r>
      <rPr>
        <b/>
        <sz val="8"/>
        <color theme="1"/>
        <rFont val="Calibri"/>
        <family val="2"/>
        <scheme val="minor"/>
      </rPr>
      <t>Trámite 1: 24 de Marzo 2015</t>
    </r>
    <r>
      <rPr>
        <sz val="8"/>
        <color theme="1"/>
        <rFont val="Calibri"/>
        <family val="2"/>
        <scheme val="minor"/>
      </rPr>
      <t xml:space="preserve">
Se redacta carta respuesta, se envia a Gestora Social</t>
    </r>
  </si>
  <si>
    <r>
      <rPr>
        <b/>
        <sz val="8"/>
        <color theme="1"/>
        <rFont val="Calibri"/>
        <family val="2"/>
        <scheme val="minor"/>
      </rPr>
      <t xml:space="preserve">Trámite 1: 24 de Marzo 2015 </t>
    </r>
    <r>
      <rPr>
        <sz val="8"/>
        <color theme="1"/>
        <rFont val="Calibri"/>
        <family val="2"/>
        <scheme val="minor"/>
      </rPr>
      <t xml:space="preserve">
Esperando revisión y firma de la respectiva carta de respuesta por parte de las directivas.
</t>
    </r>
  </si>
  <si>
    <t>MERCURIO</t>
  </si>
  <si>
    <t>NO</t>
  </si>
  <si>
    <t>SI</t>
  </si>
  <si>
    <t>Tiene Respuesta</t>
  </si>
  <si>
    <t xml:space="preserve">SI </t>
  </si>
  <si>
    <r>
      <rPr>
        <b/>
        <sz val="8"/>
        <color theme="1"/>
        <rFont val="Calibri"/>
        <family val="2"/>
        <scheme val="minor"/>
      </rPr>
      <t>Trámite 1: 24 de Marzo 2015</t>
    </r>
    <r>
      <rPr>
        <sz val="8"/>
        <color theme="1"/>
        <rFont val="Calibri"/>
        <family val="2"/>
        <scheme val="minor"/>
      </rPr>
      <t xml:space="preserve">
Se redacta carta respuesta, a la espera de a aprobación por parte de las directivas.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</si>
</sst>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Calibri"/>
      <family val="2"/>
    </font>
    <font>
      <b/>
      <sz val="11"/>
      <color rgb="FF000000"/>
      <name val="Calibri"/>
      <family val="2"/>
    </font>
    <font>
      <sz val="8"/>
      <color theme="1"/>
      <name val="Calibri"/>
      <family val="2"/>
      <scheme val="minor"/>
    </font>
    <font>
      <sz val="8"/>
      <color rgb="FF000000"/>
      <name val="Calibri"/>
      <family val="2"/>
    </font>
    <font>
      <i/>
      <sz val="8"/>
      <color theme="1"/>
      <name val="Calibri"/>
      <family val="2"/>
      <scheme val="minor"/>
    </font>
    <font>
      <u/>
      <sz val="8"/>
      <color theme="1"/>
      <name val="Calibri"/>
      <family val="2"/>
      <scheme val="minor"/>
    </font>
    <font>
      <sz val="8"/>
      <color rgb="FF000000"/>
      <name val="Calibri"/>
      <family val="2"/>
      <scheme val="minor"/>
    </font>
    <font>
      <b/>
      <sz val="8"/>
      <color rgb="FFFFC000"/>
      <name val="Calibri"/>
      <family val="2"/>
      <scheme val="minor"/>
    </font>
    <font>
      <b/>
      <sz val="8"/>
      <color theme="1"/>
      <name val="Calibri"/>
      <family val="2"/>
      <scheme val="minor"/>
    </font>
    <font>
      <b/>
      <sz val="8"/>
      <color rgb="FF000000"/>
      <name val="Calibri"/>
      <family val="2"/>
      <scheme val="minor"/>
    </font>
    <font>
      <b/>
      <sz val="8"/>
      <color rgb="FF000000"/>
      <name val="Calibri"/>
      <family val="2"/>
    </font>
    <font>
      <b/>
      <sz val="11"/>
      <color theme="1"/>
      <name val="Calibri"/>
      <family val="2"/>
      <scheme val="minor"/>
    </font>
    <font>
      <sz val="8"/>
      <name val="Calibri"/>
      <family val="2"/>
      <scheme val="minor"/>
    </font>
    <font>
      <b/>
      <sz val="8"/>
      <name val="Calibri"/>
      <family val="2"/>
      <scheme val="minor"/>
    </font>
  </fonts>
  <fills count="6">
    <fill>
      <patternFill patternType="none"/>
    </fill>
    <fill>
      <patternFill patternType="gray125"/>
    </fill>
    <fill>
      <patternFill patternType="solid">
        <fgColor rgb="FFC0C0C0"/>
        <bgColor rgb="FFC0C0C0"/>
      </patternFill>
    </fill>
    <fill>
      <patternFill patternType="solid">
        <fgColor theme="6" tint="0.39997558519241921"/>
        <bgColor rgb="FFC0C0C0"/>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1">
    <xf numFmtId="0" fontId="0" fillId="0" borderId="0" xfId="0"/>
    <xf numFmtId="0" fontId="0" fillId="0" borderId="0" xfId="0" applyAlignment="1">
      <alignment horizontal="center"/>
    </xf>
    <xf numFmtId="0" fontId="0" fillId="0" borderId="0" xfId="0" applyAlignment="1">
      <alignment horizontal="center" vertical="center"/>
    </xf>
    <xf numFmtId="14" fontId="0" fillId="0" borderId="0" xfId="0" applyNumberFormat="1" applyAlignment="1">
      <alignment horizontal="center"/>
    </xf>
    <xf numFmtId="0" fontId="3" fillId="0" borderId="0" xfId="0" applyFont="1" applyAlignment="1">
      <alignment wrapText="1"/>
    </xf>
    <xf numFmtId="0" fontId="3" fillId="0" borderId="0" xfId="0" applyFont="1"/>
    <xf numFmtId="14" fontId="3" fillId="0" borderId="0" xfId="0" applyNumberFormat="1" applyFont="1"/>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15" fontId="3" fillId="0" borderId="1" xfId="0" applyNumberFormat="1" applyFont="1" applyBorder="1" applyAlignment="1">
      <alignment horizontal="center" vertical="center" wrapText="1"/>
    </xf>
    <xf numFmtId="15" fontId="7"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wrapText="1"/>
    </xf>
    <xf numFmtId="0" fontId="3" fillId="0" borderId="1" xfId="0" applyFont="1" applyBorder="1"/>
    <xf numFmtId="0" fontId="9" fillId="0" borderId="1" xfId="0" applyFont="1" applyBorder="1" applyAlignment="1">
      <alignment horizontal="center" vertical="center" wrapText="1"/>
    </xf>
    <xf numFmtId="0" fontId="0" fillId="0" borderId="1" xfId="0" applyBorder="1" applyAlignment="1">
      <alignment wrapText="1"/>
    </xf>
    <xf numFmtId="14" fontId="3" fillId="0" borderId="1" xfId="0" applyNumberFormat="1" applyFont="1" applyBorder="1" applyAlignment="1">
      <alignment wrapText="1"/>
    </xf>
    <xf numFmtId="0" fontId="0" fillId="0" borderId="1" xfId="0" applyBorder="1"/>
    <xf numFmtId="14" fontId="3"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9" fillId="0" borderId="1" xfId="0" applyFont="1" applyBorder="1" applyAlignment="1">
      <alignment wrapText="1"/>
    </xf>
    <xf numFmtId="0" fontId="12" fillId="0" borderId="1" xfId="0" applyFont="1" applyBorder="1" applyAlignment="1">
      <alignment horizontal="center" vertical="center"/>
    </xf>
    <xf numFmtId="0" fontId="0" fillId="0" borderId="0" xfId="0" applyAlignment="1">
      <alignment horizontal="center" vertical="center" wrapText="1"/>
    </xf>
    <xf numFmtId="0" fontId="3" fillId="0" borderId="1" xfId="0" applyFont="1" applyBorder="1" applyAlignment="1">
      <alignment horizontal="center" vertical="center"/>
    </xf>
    <xf numFmtId="14" fontId="12" fillId="0" borderId="0" xfId="0" applyNumberFormat="1" applyFont="1" applyAlignment="1">
      <alignment horizontal="center" vertical="center"/>
    </xf>
    <xf numFmtId="0" fontId="3" fillId="4" borderId="1" xfId="0" applyFont="1" applyFill="1" applyBorder="1" applyAlignment="1">
      <alignment horizontal="center" vertical="center" wrapText="1"/>
    </xf>
    <xf numFmtId="0" fontId="3" fillId="0" borderId="0" xfId="0" applyFont="1" applyAlignment="1">
      <alignment horizontal="center" vertical="center" wrapText="1"/>
    </xf>
    <xf numFmtId="0" fontId="13" fillId="5"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 fillId="3" borderId="2" xfId="0" applyFont="1" applyFill="1" applyBorder="1" applyAlignment="1">
      <alignment horizontal="center" vertical="center" wrapText="1"/>
    </xf>
  </cellXfs>
  <cellStyles count="1">
    <cellStyle name="Normal" xfId="0" builtinId="0"/>
  </cellStyles>
  <dxfs count="10">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00B050"/>
      </font>
      <fill>
        <patternFill>
          <bgColor theme="6" tint="0.39994506668294322"/>
        </patternFill>
      </fill>
      <border>
        <left style="thin">
          <color auto="1"/>
        </left>
        <right style="thin">
          <color auto="1"/>
        </right>
        <top style="thin">
          <color auto="1"/>
        </top>
        <bottom style="thin">
          <color auto="1"/>
        </bottom>
        <vertical/>
        <horizontal/>
      </border>
    </dxf>
    <dxf>
      <font>
        <b/>
        <i val="0"/>
        <color theme="1" tint="0.499984740745262"/>
      </font>
      <fill>
        <patternFill>
          <bgColor theme="0" tint="-0.14996795556505021"/>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lor rgb="FF00B050"/>
      </font>
      <fill>
        <patternFill>
          <bgColor theme="6" tint="0.39994506668294322"/>
        </patternFill>
      </fill>
      <border>
        <left style="thin">
          <color auto="1"/>
        </left>
        <right style="thin">
          <color auto="1"/>
        </right>
        <top style="thin">
          <color auto="1"/>
        </top>
        <bottom style="thin">
          <color auto="1"/>
        </bottom>
        <vertical/>
        <horizontal/>
      </border>
    </dxf>
    <dxf>
      <font>
        <b/>
        <i val="0"/>
        <color theme="1" tint="0.499984740745262"/>
      </font>
      <fill>
        <patternFill>
          <bgColor theme="0" tint="-0.14996795556505021"/>
        </patternFill>
      </fill>
    </dxf>
  </dxfs>
  <tableStyles count="0" defaultTableStyle="TableStyleMedium2" defaultPivotStyle="PivotStyleLight16"/>
  <colors>
    <mruColors>
      <color rgb="FFEF25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56"/>
  <sheetViews>
    <sheetView tabSelected="1" zoomScale="85" zoomScaleNormal="85" zoomScaleSheetLayoutView="115" workbookViewId="0">
      <pane xSplit="2" ySplit="1" topLeftCell="C2" activePane="bottomRight" state="frozen"/>
      <selection pane="topRight" activeCell="C1" sqref="C1"/>
      <selection pane="bottomLeft" activeCell="A2" sqref="A2"/>
      <selection pane="bottomRight" activeCell="AK1" sqref="AJ1:AK1048576"/>
    </sheetView>
  </sheetViews>
  <sheetFormatPr baseColWidth="10" defaultRowHeight="15" x14ac:dyDescent="0.2"/>
  <cols>
    <col min="1" max="1" width="13.5" bestFit="1" customWidth="1"/>
    <col min="2" max="2" width="9" style="1" customWidth="1"/>
    <col min="3" max="3" width="15.6640625" style="1" customWidth="1"/>
    <col min="4" max="4" width="12.1640625" style="3" bestFit="1" customWidth="1"/>
    <col min="5" max="5" width="13.83203125" style="1" customWidth="1"/>
    <col min="6" max="6" width="16.1640625" style="1" customWidth="1"/>
    <col min="7" max="7" width="22.33203125" bestFit="1" customWidth="1"/>
    <col min="8" max="8" width="11.83203125" style="2" bestFit="1" customWidth="1"/>
    <col min="9" max="9" width="25.5" style="2" bestFit="1" customWidth="1"/>
    <col min="10" max="10" width="15.5" bestFit="1" customWidth="1"/>
    <col min="11" max="11" width="15.33203125" customWidth="1"/>
    <col min="12" max="12" width="50.83203125" bestFit="1" customWidth="1"/>
    <col min="13" max="13" width="13.6640625" bestFit="1" customWidth="1"/>
    <col min="14" max="14" width="19.33203125" customWidth="1"/>
    <col min="15" max="15" width="13.6640625" style="5" customWidth="1"/>
    <col min="16" max="17" width="20.5" style="5" customWidth="1"/>
    <col min="18" max="18" width="24.6640625" style="5" bestFit="1" customWidth="1"/>
    <col min="19" max="19" width="12.83203125" style="6" bestFit="1" customWidth="1"/>
    <col min="20" max="20" width="15.1640625" style="6" customWidth="1"/>
    <col min="21" max="21" width="22" style="6" hidden="1" customWidth="1"/>
    <col min="22" max="22" width="65.1640625" style="6" hidden="1" customWidth="1"/>
    <col min="23" max="23" width="43" style="5" hidden="1" customWidth="1"/>
    <col min="24" max="27" width="51" style="5" customWidth="1"/>
    <col min="28" max="28" width="52.83203125" style="5" customWidth="1"/>
    <col min="29" max="31" width="51" style="5" customWidth="1"/>
    <col min="32" max="33" width="15.6640625" style="5" customWidth="1"/>
    <col min="34" max="34" width="15.6640625" style="6" customWidth="1"/>
    <col min="35" max="35" width="15.5" bestFit="1" customWidth="1"/>
    <col min="36" max="36" width="16.1640625" style="33" hidden="1" customWidth="1"/>
    <col min="37" max="37" width="32.83203125" style="33" hidden="1" customWidth="1"/>
    <col min="38" max="38" width="42.6640625" customWidth="1"/>
    <col min="39" max="39" width="24.83203125" bestFit="1" customWidth="1"/>
    <col min="40" max="40" width="25.33203125" bestFit="1" customWidth="1"/>
  </cols>
  <sheetData>
    <row r="1" spans="1:36" ht="38.25" customHeight="1" x14ac:dyDescent="0.2">
      <c r="A1" s="25" t="s">
        <v>38</v>
      </c>
      <c r="B1" s="26" t="s">
        <v>0</v>
      </c>
      <c r="C1" s="26" t="s">
        <v>511</v>
      </c>
      <c r="D1" s="27" t="s">
        <v>1</v>
      </c>
      <c r="E1" s="26" t="s">
        <v>2</v>
      </c>
      <c r="F1" s="26" t="s">
        <v>3</v>
      </c>
      <c r="G1" s="26" t="s">
        <v>4</v>
      </c>
      <c r="H1" s="26" t="s">
        <v>5</v>
      </c>
      <c r="I1" s="26" t="s">
        <v>6</v>
      </c>
      <c r="J1" s="26" t="s">
        <v>7</v>
      </c>
      <c r="K1" s="26" t="s">
        <v>8</v>
      </c>
      <c r="L1" s="26" t="s">
        <v>9</v>
      </c>
      <c r="M1" s="26" t="s">
        <v>10</v>
      </c>
      <c r="N1" s="26" t="s">
        <v>36</v>
      </c>
      <c r="O1" s="28" t="s">
        <v>182</v>
      </c>
      <c r="P1" s="28" t="s">
        <v>507</v>
      </c>
      <c r="Q1" s="28" t="s">
        <v>508</v>
      </c>
      <c r="R1" s="28" t="s">
        <v>11</v>
      </c>
      <c r="S1" s="29" t="s">
        <v>12</v>
      </c>
      <c r="T1" s="29" t="s">
        <v>445</v>
      </c>
      <c r="U1" s="29" t="s">
        <v>509</v>
      </c>
      <c r="V1" s="29" t="s">
        <v>726</v>
      </c>
      <c r="W1" s="30" t="s">
        <v>300</v>
      </c>
      <c r="X1" s="28" t="s">
        <v>301</v>
      </c>
      <c r="Y1" s="28" t="s">
        <v>304</v>
      </c>
      <c r="Z1" s="28" t="s">
        <v>325</v>
      </c>
      <c r="AA1" s="28" t="s">
        <v>392</v>
      </c>
      <c r="AB1" s="28" t="s">
        <v>904</v>
      </c>
      <c r="AC1" s="28" t="s">
        <v>905</v>
      </c>
      <c r="AD1" s="28" t="s">
        <v>964</v>
      </c>
      <c r="AE1" s="28" t="s">
        <v>997</v>
      </c>
      <c r="AF1" s="28" t="s">
        <v>13</v>
      </c>
      <c r="AG1" s="28" t="s">
        <v>14</v>
      </c>
      <c r="AH1" s="28" t="s">
        <v>444</v>
      </c>
      <c r="AI1" s="35">
        <v>42087</v>
      </c>
      <c r="AJ1" s="40" t="s">
        <v>1005</v>
      </c>
    </row>
    <row r="2" spans="1:36" ht="202.5" customHeight="1" x14ac:dyDescent="0.2">
      <c r="A2" s="8" t="s">
        <v>747</v>
      </c>
      <c r="B2" s="9">
        <v>1000</v>
      </c>
      <c r="C2" s="9" t="s">
        <v>748</v>
      </c>
      <c r="D2" s="10">
        <v>41844</v>
      </c>
      <c r="E2" s="9" t="s">
        <v>86</v>
      </c>
      <c r="F2" s="9" t="s">
        <v>87</v>
      </c>
      <c r="G2" s="9" t="s">
        <v>538</v>
      </c>
      <c r="H2" s="9" t="s">
        <v>18</v>
      </c>
      <c r="I2" s="9" t="s">
        <v>539</v>
      </c>
      <c r="J2" s="9">
        <v>71189204</v>
      </c>
      <c r="K2" s="9" t="s">
        <v>43</v>
      </c>
      <c r="L2" s="9" t="s">
        <v>540</v>
      </c>
      <c r="M2" s="9" t="s">
        <v>88</v>
      </c>
      <c r="N2" s="9" t="s">
        <v>23</v>
      </c>
      <c r="O2" s="9" t="s">
        <v>320</v>
      </c>
      <c r="P2" s="9"/>
      <c r="Q2" s="9" t="str">
        <f>IF(O2=P2,"NO","SI")</f>
        <v>SI</v>
      </c>
      <c r="R2" s="8"/>
      <c r="S2" s="11"/>
      <c r="T2" s="11">
        <v>42061</v>
      </c>
      <c r="U2" s="11"/>
      <c r="V2" s="11" t="s">
        <v>745</v>
      </c>
      <c r="W2" s="8"/>
      <c r="X2" s="8"/>
      <c r="Y2" s="8"/>
      <c r="Z2" s="8"/>
      <c r="AA2" s="8"/>
      <c r="AB2" s="8" t="s">
        <v>768</v>
      </c>
      <c r="AC2" s="8"/>
      <c r="AD2" s="8"/>
      <c r="AE2" s="8"/>
      <c r="AF2" s="8"/>
      <c r="AG2" s="8"/>
      <c r="AH2" s="32" t="str">
        <f t="shared" ref="AH2:AH33" si="0">IF(O2="Por iniciar","Por iniciar",(IF(O2&lt;&gt;"Resuelto",IF($AI$1-T2&lt;8,"V",IF($AI$1-T2&lt;15,"A","R")),"Resuelto")))</f>
        <v>Resuelto</v>
      </c>
    </row>
    <row r="3" spans="1:36" ht="409.5" customHeight="1" x14ac:dyDescent="0.2">
      <c r="A3" s="8" t="s">
        <v>747</v>
      </c>
      <c r="B3" s="9">
        <v>1002</v>
      </c>
      <c r="C3" s="9" t="s">
        <v>748</v>
      </c>
      <c r="D3" s="10">
        <v>41844</v>
      </c>
      <c r="E3" s="9" t="s">
        <v>86</v>
      </c>
      <c r="F3" s="9" t="s">
        <v>87</v>
      </c>
      <c r="G3" s="9" t="s">
        <v>538</v>
      </c>
      <c r="H3" s="9" t="s">
        <v>18</v>
      </c>
      <c r="I3" s="9" t="s">
        <v>539</v>
      </c>
      <c r="J3" s="9">
        <v>71189204</v>
      </c>
      <c r="K3" s="9" t="s">
        <v>43</v>
      </c>
      <c r="L3" s="9" t="s">
        <v>541</v>
      </c>
      <c r="M3" s="9" t="s">
        <v>29</v>
      </c>
      <c r="N3" s="9" t="s">
        <v>23</v>
      </c>
      <c r="O3" s="9" t="s">
        <v>320</v>
      </c>
      <c r="P3" s="9"/>
      <c r="Q3" s="9" t="str">
        <f t="shared" ref="Q3:Q66" si="1">IF(O3=P3,"NO","SI")</f>
        <v>SI</v>
      </c>
      <c r="R3" s="8"/>
      <c r="S3" s="11"/>
      <c r="T3" s="11">
        <v>42061</v>
      </c>
      <c r="U3" s="11"/>
      <c r="V3" s="11" t="s">
        <v>839</v>
      </c>
      <c r="W3" s="8"/>
      <c r="X3" s="8"/>
      <c r="Y3" s="8"/>
      <c r="Z3" s="8"/>
      <c r="AA3" s="8"/>
      <c r="AB3" s="8" t="s">
        <v>768</v>
      </c>
      <c r="AC3"/>
      <c r="AD3" s="8" t="s">
        <v>969</v>
      </c>
      <c r="AE3" s="8"/>
      <c r="AF3" s="8"/>
      <c r="AG3" s="8"/>
      <c r="AH3" s="32" t="str">
        <f t="shared" si="0"/>
        <v>Resuelto</v>
      </c>
    </row>
    <row r="4" spans="1:36" ht="213.75" customHeight="1" x14ac:dyDescent="0.2">
      <c r="A4" s="8" t="s">
        <v>747</v>
      </c>
      <c r="B4" s="9">
        <v>1003</v>
      </c>
      <c r="C4" s="9" t="s">
        <v>748</v>
      </c>
      <c r="D4" s="10">
        <v>41856</v>
      </c>
      <c r="E4" s="9" t="s">
        <v>86</v>
      </c>
      <c r="F4" s="9" t="s">
        <v>522</v>
      </c>
      <c r="G4" s="9" t="s">
        <v>542</v>
      </c>
      <c r="H4" s="9" t="s">
        <v>18</v>
      </c>
      <c r="I4" s="9" t="s">
        <v>543</v>
      </c>
      <c r="J4" s="9">
        <v>70826387</v>
      </c>
      <c r="K4" s="9" t="s">
        <v>43</v>
      </c>
      <c r="L4" s="9" t="s">
        <v>544</v>
      </c>
      <c r="M4" s="9" t="s">
        <v>29</v>
      </c>
      <c r="N4" s="9" t="s">
        <v>545</v>
      </c>
      <c r="O4" s="9" t="s">
        <v>320</v>
      </c>
      <c r="P4" s="9"/>
      <c r="Q4" s="9" t="str">
        <f t="shared" si="1"/>
        <v>SI</v>
      </c>
      <c r="R4" s="8"/>
      <c r="S4" s="11"/>
      <c r="T4" s="11">
        <v>42061</v>
      </c>
      <c r="U4" s="11"/>
      <c r="V4" s="11" t="s">
        <v>952</v>
      </c>
      <c r="W4" s="8"/>
      <c r="X4" s="8"/>
      <c r="Y4" s="8"/>
      <c r="Z4" s="8"/>
      <c r="AA4" s="8"/>
      <c r="AB4" s="8"/>
      <c r="AC4" s="8"/>
      <c r="AD4" s="8"/>
      <c r="AE4" s="8"/>
      <c r="AF4" s="8"/>
      <c r="AG4" s="8"/>
      <c r="AH4" s="32" t="str">
        <f t="shared" si="0"/>
        <v>Resuelto</v>
      </c>
    </row>
    <row r="5" spans="1:36" ht="180" customHeight="1" x14ac:dyDescent="0.2">
      <c r="A5" s="8" t="s">
        <v>747</v>
      </c>
      <c r="B5" s="9">
        <v>2000</v>
      </c>
      <c r="C5" s="9" t="s">
        <v>749</v>
      </c>
      <c r="D5" s="10">
        <v>41822</v>
      </c>
      <c r="E5" s="9" t="s">
        <v>15</v>
      </c>
      <c r="F5" s="9" t="s">
        <v>40</v>
      </c>
      <c r="G5" s="9" t="s">
        <v>41</v>
      </c>
      <c r="H5" s="9" t="s">
        <v>18</v>
      </c>
      <c r="I5" s="9" t="s">
        <v>546</v>
      </c>
      <c r="J5" s="9">
        <v>8047755</v>
      </c>
      <c r="K5" s="9" t="s">
        <v>43</v>
      </c>
      <c r="L5" s="9" t="s">
        <v>547</v>
      </c>
      <c r="M5" s="9" t="s">
        <v>89</v>
      </c>
      <c r="N5" s="9" t="s">
        <v>548</v>
      </c>
      <c r="O5" s="9" t="s">
        <v>320</v>
      </c>
      <c r="P5" s="9"/>
      <c r="Q5" s="9" t="str">
        <f t="shared" si="1"/>
        <v>SI</v>
      </c>
      <c r="R5" s="8"/>
      <c r="S5" s="11"/>
      <c r="T5" s="11"/>
      <c r="U5" s="11"/>
      <c r="V5" s="11" t="s">
        <v>924</v>
      </c>
      <c r="W5" s="8"/>
      <c r="X5" s="8"/>
      <c r="Y5" s="8"/>
      <c r="Z5" s="8"/>
      <c r="AA5" s="8"/>
      <c r="AB5" s="8"/>
      <c r="AC5" s="8"/>
      <c r="AD5" s="8"/>
      <c r="AE5" s="8"/>
      <c r="AF5" s="8"/>
      <c r="AG5" s="8"/>
      <c r="AH5" s="32" t="str">
        <f t="shared" si="0"/>
        <v>Resuelto</v>
      </c>
    </row>
    <row r="6" spans="1:36" ht="213.75" customHeight="1" x14ac:dyDescent="0.2">
      <c r="A6" s="8" t="s">
        <v>747</v>
      </c>
      <c r="B6" s="9">
        <v>2002</v>
      </c>
      <c r="C6" s="9" t="s">
        <v>749</v>
      </c>
      <c r="D6" s="10">
        <v>41822</v>
      </c>
      <c r="E6" s="9" t="s">
        <v>15</v>
      </c>
      <c r="F6" s="9" t="s">
        <v>40</v>
      </c>
      <c r="G6" s="9" t="s">
        <v>41</v>
      </c>
      <c r="H6" s="9" t="s">
        <v>18</v>
      </c>
      <c r="I6" s="9" t="s">
        <v>549</v>
      </c>
      <c r="J6" s="9">
        <v>71194445</v>
      </c>
      <c r="K6" s="9" t="s">
        <v>297</v>
      </c>
      <c r="L6" s="9" t="s">
        <v>550</v>
      </c>
      <c r="M6" s="9" t="s">
        <v>22</v>
      </c>
      <c r="N6" s="9" t="s">
        <v>23</v>
      </c>
      <c r="O6" s="9" t="s">
        <v>320</v>
      </c>
      <c r="P6" s="9"/>
      <c r="Q6" s="9" t="str">
        <f t="shared" si="1"/>
        <v>SI</v>
      </c>
      <c r="R6" s="8"/>
      <c r="S6" s="11"/>
      <c r="T6" s="11"/>
      <c r="U6" s="11"/>
      <c r="V6" s="11" t="s">
        <v>925</v>
      </c>
      <c r="W6" s="8"/>
      <c r="X6" s="8"/>
      <c r="Y6" s="8"/>
      <c r="Z6" s="8"/>
      <c r="AA6" s="8"/>
      <c r="AB6" s="8"/>
      <c r="AC6" s="8"/>
      <c r="AD6" s="8"/>
      <c r="AE6" s="8"/>
      <c r="AF6" s="8"/>
      <c r="AG6" s="8"/>
      <c r="AH6" s="32" t="str">
        <f t="shared" si="0"/>
        <v>Resuelto</v>
      </c>
    </row>
    <row r="7" spans="1:36" ht="202.5" customHeight="1" x14ac:dyDescent="0.2">
      <c r="A7" s="8" t="s">
        <v>747</v>
      </c>
      <c r="B7" s="9">
        <v>2003</v>
      </c>
      <c r="C7" s="9" t="s">
        <v>749</v>
      </c>
      <c r="D7" s="10">
        <v>41822</v>
      </c>
      <c r="E7" s="9" t="s">
        <v>15</v>
      </c>
      <c r="F7" s="9" t="s">
        <v>40</v>
      </c>
      <c r="G7" s="9" t="s">
        <v>41</v>
      </c>
      <c r="H7" s="9" t="s">
        <v>18</v>
      </c>
      <c r="I7" s="9" t="s">
        <v>546</v>
      </c>
      <c r="J7" s="9">
        <v>8047755</v>
      </c>
      <c r="K7" s="9" t="s">
        <v>43</v>
      </c>
      <c r="L7" s="9" t="s">
        <v>551</v>
      </c>
      <c r="M7" s="9" t="s">
        <v>29</v>
      </c>
      <c r="N7" s="9" t="s">
        <v>552</v>
      </c>
      <c r="O7" s="9" t="s">
        <v>320</v>
      </c>
      <c r="P7" s="9"/>
      <c r="Q7" s="9" t="str">
        <f t="shared" si="1"/>
        <v>SI</v>
      </c>
      <c r="R7" s="8"/>
      <c r="S7" s="11"/>
      <c r="T7" s="11"/>
      <c r="U7" s="11"/>
      <c r="V7" s="11" t="s">
        <v>926</v>
      </c>
      <c r="W7" s="8"/>
      <c r="X7" s="8"/>
      <c r="Y7" s="8"/>
      <c r="Z7" s="8"/>
      <c r="AA7" s="8"/>
      <c r="AB7" s="8"/>
      <c r="AC7" s="8"/>
      <c r="AD7" s="8"/>
      <c r="AE7" s="8"/>
      <c r="AF7" s="8"/>
      <c r="AG7" s="8"/>
      <c r="AH7" s="32" t="str">
        <f t="shared" si="0"/>
        <v>Resuelto</v>
      </c>
    </row>
    <row r="8" spans="1:36" ht="191.25" customHeight="1" x14ac:dyDescent="0.2">
      <c r="A8" s="8" t="s">
        <v>747</v>
      </c>
      <c r="B8" s="9">
        <v>2004</v>
      </c>
      <c r="C8" s="9" t="s">
        <v>749</v>
      </c>
      <c r="D8" s="10">
        <v>41822</v>
      </c>
      <c r="E8" s="9" t="s">
        <v>15</v>
      </c>
      <c r="F8" s="9" t="s">
        <v>40</v>
      </c>
      <c r="G8" s="9" t="s">
        <v>41</v>
      </c>
      <c r="H8" s="9" t="s">
        <v>18</v>
      </c>
      <c r="I8" s="9" t="s">
        <v>553</v>
      </c>
      <c r="J8" s="9">
        <v>8047755</v>
      </c>
      <c r="K8" s="9" t="s">
        <v>43</v>
      </c>
      <c r="L8" s="9" t="s">
        <v>554</v>
      </c>
      <c r="M8" s="9" t="s">
        <v>29</v>
      </c>
      <c r="N8" s="9" t="s">
        <v>552</v>
      </c>
      <c r="O8" s="9" t="s">
        <v>320</v>
      </c>
      <c r="P8" s="9"/>
      <c r="Q8" s="9" t="str">
        <f t="shared" si="1"/>
        <v>SI</v>
      </c>
      <c r="R8" s="8"/>
      <c r="S8" s="11"/>
      <c r="T8" s="11"/>
      <c r="U8" s="11"/>
      <c r="V8" s="11" t="s">
        <v>910</v>
      </c>
      <c r="W8" s="8"/>
      <c r="X8" s="8"/>
      <c r="Y8" s="8"/>
      <c r="Z8" s="8"/>
      <c r="AA8" s="8"/>
      <c r="AB8" s="8"/>
      <c r="AC8" s="8"/>
      <c r="AD8" s="8"/>
      <c r="AE8" s="8"/>
      <c r="AF8" s="8"/>
      <c r="AG8" s="8"/>
      <c r="AH8" s="32" t="str">
        <f t="shared" si="0"/>
        <v>Resuelto</v>
      </c>
    </row>
    <row r="9" spans="1:36" ht="191.25" customHeight="1" x14ac:dyDescent="0.2">
      <c r="A9" s="8" t="s">
        <v>747</v>
      </c>
      <c r="B9" s="9">
        <v>2005</v>
      </c>
      <c r="C9" s="9" t="s">
        <v>749</v>
      </c>
      <c r="D9" s="10">
        <v>41822</v>
      </c>
      <c r="E9" s="9" t="s">
        <v>15</v>
      </c>
      <c r="F9" s="9" t="s">
        <v>40</v>
      </c>
      <c r="G9" s="9" t="s">
        <v>41</v>
      </c>
      <c r="H9" s="9" t="s">
        <v>18</v>
      </c>
      <c r="I9" s="9" t="s">
        <v>546</v>
      </c>
      <c r="J9" s="9">
        <v>8047755</v>
      </c>
      <c r="K9" s="9" t="s">
        <v>43</v>
      </c>
      <c r="L9" s="9" t="s">
        <v>555</v>
      </c>
      <c r="M9" s="9" t="s">
        <v>29</v>
      </c>
      <c r="N9" s="9" t="s">
        <v>552</v>
      </c>
      <c r="O9" s="9" t="s">
        <v>320</v>
      </c>
      <c r="P9" s="9"/>
      <c r="Q9" s="9" t="str">
        <f t="shared" si="1"/>
        <v>SI</v>
      </c>
      <c r="R9" s="8"/>
      <c r="S9" s="11"/>
      <c r="T9" s="11"/>
      <c r="U9" s="11"/>
      <c r="V9" s="11" t="s">
        <v>910</v>
      </c>
      <c r="W9" s="8"/>
      <c r="X9" s="8"/>
      <c r="Y9" s="8"/>
      <c r="Z9" s="8"/>
      <c r="AA9" s="8"/>
      <c r="AB9" s="8"/>
      <c r="AC9" s="8"/>
      <c r="AD9" s="8"/>
      <c r="AE9" s="8"/>
      <c r="AF9" s="8"/>
      <c r="AG9" s="8"/>
      <c r="AH9" s="32" t="str">
        <f t="shared" si="0"/>
        <v>Resuelto</v>
      </c>
    </row>
    <row r="10" spans="1:36" ht="202.5" customHeight="1" x14ac:dyDescent="0.2">
      <c r="A10" s="8" t="s">
        <v>747</v>
      </c>
      <c r="B10" s="9">
        <v>2006</v>
      </c>
      <c r="C10" s="9" t="s">
        <v>749</v>
      </c>
      <c r="D10" s="10">
        <v>41822</v>
      </c>
      <c r="E10" s="9" t="s">
        <v>15</v>
      </c>
      <c r="F10" s="9" t="s">
        <v>40</v>
      </c>
      <c r="G10" s="9" t="s">
        <v>41</v>
      </c>
      <c r="H10" s="9" t="s">
        <v>18</v>
      </c>
      <c r="I10" s="9" t="s">
        <v>546</v>
      </c>
      <c r="J10" s="9">
        <v>8047755</v>
      </c>
      <c r="K10" s="9" t="s">
        <v>43</v>
      </c>
      <c r="L10" s="9" t="s">
        <v>556</v>
      </c>
      <c r="M10" s="9" t="s">
        <v>29</v>
      </c>
      <c r="N10" s="9" t="s">
        <v>552</v>
      </c>
      <c r="O10" s="9" t="s">
        <v>320</v>
      </c>
      <c r="P10" s="9"/>
      <c r="Q10" s="9" t="str">
        <f t="shared" si="1"/>
        <v>SI</v>
      </c>
      <c r="R10" s="8"/>
      <c r="S10" s="11"/>
      <c r="T10" s="11"/>
      <c r="U10" s="11"/>
      <c r="V10" s="11" t="s">
        <v>911</v>
      </c>
      <c r="W10" s="8"/>
      <c r="X10" s="8"/>
      <c r="Y10" s="8"/>
      <c r="Z10" s="8"/>
      <c r="AA10" s="8"/>
      <c r="AB10" s="8"/>
      <c r="AC10" s="8"/>
      <c r="AD10" s="8"/>
      <c r="AE10" s="8"/>
      <c r="AF10" s="8"/>
      <c r="AG10" s="8"/>
      <c r="AH10" s="32" t="str">
        <f t="shared" si="0"/>
        <v>Resuelto</v>
      </c>
    </row>
    <row r="11" spans="1:36" ht="191.25" customHeight="1" x14ac:dyDescent="0.2">
      <c r="A11" s="8" t="s">
        <v>747</v>
      </c>
      <c r="B11" s="9">
        <v>2007</v>
      </c>
      <c r="C11" s="9" t="s">
        <v>749</v>
      </c>
      <c r="D11" s="10">
        <v>41822</v>
      </c>
      <c r="E11" s="9" t="s">
        <v>15</v>
      </c>
      <c r="F11" s="9" t="s">
        <v>40</v>
      </c>
      <c r="G11" s="9" t="s">
        <v>41</v>
      </c>
      <c r="H11" s="9" t="s">
        <v>18</v>
      </c>
      <c r="I11" s="9" t="s">
        <v>546</v>
      </c>
      <c r="J11" s="9">
        <v>8047755</v>
      </c>
      <c r="K11" s="9" t="s">
        <v>43</v>
      </c>
      <c r="L11" s="9" t="s">
        <v>557</v>
      </c>
      <c r="M11" s="9" t="s">
        <v>29</v>
      </c>
      <c r="N11" s="9" t="s">
        <v>552</v>
      </c>
      <c r="O11" s="9" t="s">
        <v>320</v>
      </c>
      <c r="P11" s="9"/>
      <c r="Q11" s="9" t="str">
        <f t="shared" si="1"/>
        <v>SI</v>
      </c>
      <c r="R11" s="8"/>
      <c r="S11" s="11"/>
      <c r="T11" s="11"/>
      <c r="U11" s="11"/>
      <c r="V11" s="11" t="s">
        <v>780</v>
      </c>
      <c r="W11" s="8"/>
      <c r="X11" s="8"/>
      <c r="Y11" s="8"/>
      <c r="Z11" s="8"/>
      <c r="AA11" s="8"/>
      <c r="AB11" s="8"/>
      <c r="AC11" s="8"/>
      <c r="AD11" s="8"/>
      <c r="AE11" s="8"/>
      <c r="AF11" s="8"/>
      <c r="AG11" s="8"/>
      <c r="AH11" s="32" t="str">
        <f t="shared" si="0"/>
        <v>Resuelto</v>
      </c>
    </row>
    <row r="12" spans="1:36" ht="202.5" customHeight="1" x14ac:dyDescent="0.2">
      <c r="A12" s="8" t="s">
        <v>747</v>
      </c>
      <c r="B12" s="9">
        <v>2008</v>
      </c>
      <c r="C12" s="9" t="s">
        <v>749</v>
      </c>
      <c r="D12" s="10">
        <v>41822</v>
      </c>
      <c r="E12" s="9" t="s">
        <v>15</v>
      </c>
      <c r="F12" s="9" t="s">
        <v>40</v>
      </c>
      <c r="G12" s="9" t="s">
        <v>41</v>
      </c>
      <c r="H12" s="9" t="s">
        <v>18</v>
      </c>
      <c r="I12" s="9" t="s">
        <v>546</v>
      </c>
      <c r="J12" s="9">
        <v>8047755</v>
      </c>
      <c r="K12" s="9" t="s">
        <v>43</v>
      </c>
      <c r="L12" s="9" t="s">
        <v>558</v>
      </c>
      <c r="M12" s="9" t="s">
        <v>29</v>
      </c>
      <c r="N12" s="9" t="s">
        <v>552</v>
      </c>
      <c r="O12" s="9" t="s">
        <v>320</v>
      </c>
      <c r="P12" s="9"/>
      <c r="Q12" s="9" t="str">
        <f t="shared" si="1"/>
        <v>SI</v>
      </c>
      <c r="R12" s="8"/>
      <c r="S12" s="11"/>
      <c r="T12" s="11"/>
      <c r="U12" s="11"/>
      <c r="V12" s="11" t="s">
        <v>927</v>
      </c>
      <c r="W12" s="8"/>
      <c r="X12" s="8"/>
      <c r="Y12" s="8"/>
      <c r="Z12" s="8"/>
      <c r="AA12" s="8"/>
      <c r="AB12" s="8"/>
      <c r="AC12" s="8"/>
      <c r="AD12" s="8"/>
      <c r="AE12" s="8"/>
      <c r="AF12" s="8"/>
      <c r="AG12" s="8"/>
      <c r="AH12" s="32" t="str">
        <f t="shared" si="0"/>
        <v>Resuelto</v>
      </c>
    </row>
    <row r="13" spans="1:36" ht="191.25" customHeight="1" x14ac:dyDescent="0.2">
      <c r="A13" s="8" t="s">
        <v>747</v>
      </c>
      <c r="B13" s="9">
        <v>2009</v>
      </c>
      <c r="C13" s="9" t="s">
        <v>749</v>
      </c>
      <c r="D13" s="10">
        <v>41822</v>
      </c>
      <c r="E13" s="9" t="s">
        <v>15</v>
      </c>
      <c r="F13" s="9" t="s">
        <v>40</v>
      </c>
      <c r="G13" s="9" t="s">
        <v>41</v>
      </c>
      <c r="H13" s="9" t="s">
        <v>18</v>
      </c>
      <c r="I13" s="9" t="s">
        <v>546</v>
      </c>
      <c r="J13" s="9">
        <v>8047755</v>
      </c>
      <c r="K13" s="9" t="s">
        <v>43</v>
      </c>
      <c r="L13" s="9" t="s">
        <v>559</v>
      </c>
      <c r="M13" s="9" t="s">
        <v>29</v>
      </c>
      <c r="N13" s="9" t="s">
        <v>552</v>
      </c>
      <c r="O13" s="9" t="s">
        <v>320</v>
      </c>
      <c r="P13" s="9"/>
      <c r="Q13" s="9" t="str">
        <f t="shared" si="1"/>
        <v>SI</v>
      </c>
      <c r="R13" s="8"/>
      <c r="S13" s="11"/>
      <c r="T13" s="11"/>
      <c r="U13" s="11"/>
      <c r="V13" s="11" t="s">
        <v>781</v>
      </c>
      <c r="W13" s="8"/>
      <c r="X13" s="8"/>
      <c r="Y13" s="8"/>
      <c r="Z13" s="8"/>
      <c r="AA13" s="8"/>
      <c r="AB13" s="8"/>
      <c r="AC13" s="8"/>
      <c r="AD13" s="8"/>
      <c r="AE13" s="8"/>
      <c r="AF13" s="8"/>
      <c r="AG13" s="8"/>
      <c r="AH13" s="32" t="str">
        <f t="shared" si="0"/>
        <v>Resuelto</v>
      </c>
    </row>
    <row r="14" spans="1:36" ht="292.5" customHeight="1" x14ac:dyDescent="0.2">
      <c r="A14" s="8" t="s">
        <v>747</v>
      </c>
      <c r="B14" s="9">
        <v>4000</v>
      </c>
      <c r="C14" s="9" t="s">
        <v>751</v>
      </c>
      <c r="D14" s="10">
        <v>41797</v>
      </c>
      <c r="E14" s="9" t="s">
        <v>24</v>
      </c>
      <c r="F14" s="9" t="s">
        <v>261</v>
      </c>
      <c r="G14" s="9" t="s">
        <v>560</v>
      </c>
      <c r="H14" s="9" t="s">
        <v>65</v>
      </c>
      <c r="I14" s="9" t="s">
        <v>561</v>
      </c>
      <c r="J14" s="9">
        <v>3479949</v>
      </c>
      <c r="K14" s="9" t="s">
        <v>58</v>
      </c>
      <c r="L14" s="9" t="s">
        <v>562</v>
      </c>
      <c r="M14" s="9" t="s">
        <v>89</v>
      </c>
      <c r="N14" s="9" t="s">
        <v>23</v>
      </c>
      <c r="O14" s="9" t="s">
        <v>320</v>
      </c>
      <c r="P14" s="9"/>
      <c r="Q14" s="9" t="str">
        <f t="shared" si="1"/>
        <v>SI</v>
      </c>
      <c r="R14" s="8"/>
      <c r="S14" s="11"/>
      <c r="T14" s="11"/>
      <c r="U14" s="11"/>
      <c r="V14" s="11" t="s">
        <v>907</v>
      </c>
      <c r="W14" s="8"/>
      <c r="X14" s="8"/>
      <c r="Y14" s="8"/>
      <c r="Z14" s="8"/>
      <c r="AA14" s="8"/>
      <c r="AB14" s="8"/>
      <c r="AC14" s="8"/>
      <c r="AD14" s="8"/>
      <c r="AE14" s="8"/>
      <c r="AF14" s="8"/>
      <c r="AG14" s="8"/>
      <c r="AH14" s="32" t="str">
        <f t="shared" si="0"/>
        <v>Resuelto</v>
      </c>
    </row>
    <row r="15" spans="1:36" ht="409.5" customHeight="1" x14ac:dyDescent="0.2">
      <c r="A15" s="8" t="s">
        <v>747</v>
      </c>
      <c r="B15" s="9">
        <v>4002</v>
      </c>
      <c r="C15" s="9" t="s">
        <v>751</v>
      </c>
      <c r="D15" s="10">
        <v>41789</v>
      </c>
      <c r="E15" s="9" t="s">
        <v>24</v>
      </c>
      <c r="F15" s="9" t="s">
        <v>32</v>
      </c>
      <c r="G15" s="9" t="s">
        <v>33</v>
      </c>
      <c r="H15" s="9" t="s">
        <v>18</v>
      </c>
      <c r="I15" s="9" t="s">
        <v>563</v>
      </c>
      <c r="J15" s="9">
        <v>22117265</v>
      </c>
      <c r="K15" s="9" t="s">
        <v>20</v>
      </c>
      <c r="L15" s="9" t="s">
        <v>564</v>
      </c>
      <c r="M15" s="9" t="s">
        <v>29</v>
      </c>
      <c r="N15" s="9" t="s">
        <v>23</v>
      </c>
      <c r="O15" s="9" t="s">
        <v>320</v>
      </c>
      <c r="P15" s="9"/>
      <c r="Q15" s="9" t="str">
        <f t="shared" si="1"/>
        <v>SI</v>
      </c>
      <c r="R15" s="8"/>
      <c r="S15" s="11"/>
      <c r="T15" s="11"/>
      <c r="U15" s="11"/>
      <c r="V15" s="11" t="s">
        <v>727</v>
      </c>
      <c r="W15" s="8"/>
      <c r="X15" s="8"/>
      <c r="Y15" s="8"/>
      <c r="Z15" s="8"/>
      <c r="AA15" s="8"/>
      <c r="AB15" s="8"/>
      <c r="AC15" s="8"/>
      <c r="AD15" s="8"/>
      <c r="AE15" s="8"/>
      <c r="AF15" s="8"/>
      <c r="AG15" s="8"/>
      <c r="AH15" s="32" t="str">
        <f t="shared" si="0"/>
        <v>Resuelto</v>
      </c>
    </row>
    <row r="16" spans="1:36" ht="405" customHeight="1" x14ac:dyDescent="0.2">
      <c r="A16" s="8" t="s">
        <v>747</v>
      </c>
      <c r="B16" s="9">
        <v>4003</v>
      </c>
      <c r="C16" s="9" t="s">
        <v>751</v>
      </c>
      <c r="D16" s="10">
        <v>41789</v>
      </c>
      <c r="E16" s="9" t="s">
        <v>24</v>
      </c>
      <c r="F16" s="9" t="s">
        <v>32</v>
      </c>
      <c r="G16" s="9" t="s">
        <v>33</v>
      </c>
      <c r="H16" s="9" t="s">
        <v>18</v>
      </c>
      <c r="I16" s="9" t="s">
        <v>565</v>
      </c>
      <c r="J16" s="9">
        <v>3621800</v>
      </c>
      <c r="K16" s="9" t="s">
        <v>20</v>
      </c>
      <c r="L16" s="9" t="s">
        <v>566</v>
      </c>
      <c r="M16" s="9" t="s">
        <v>29</v>
      </c>
      <c r="N16" s="9" t="s">
        <v>23</v>
      </c>
      <c r="O16" s="9" t="s">
        <v>320</v>
      </c>
      <c r="P16" s="9"/>
      <c r="Q16" s="9" t="str">
        <f t="shared" si="1"/>
        <v>SI</v>
      </c>
      <c r="R16" s="8"/>
      <c r="S16" s="11"/>
      <c r="T16" s="11"/>
      <c r="U16" s="11"/>
      <c r="V16" s="11" t="s">
        <v>782</v>
      </c>
      <c r="W16" s="8"/>
      <c r="X16" s="8"/>
      <c r="Y16" s="8"/>
      <c r="Z16" s="8"/>
      <c r="AA16" s="8"/>
      <c r="AB16" s="8"/>
      <c r="AC16" s="8"/>
      <c r="AD16" s="8"/>
      <c r="AE16" s="8"/>
      <c r="AF16" s="8"/>
      <c r="AG16" s="8"/>
      <c r="AH16" s="32" t="str">
        <f t="shared" si="0"/>
        <v>Resuelto</v>
      </c>
    </row>
    <row r="17" spans="1:38" ht="315" customHeight="1" x14ac:dyDescent="0.2">
      <c r="A17" s="8" t="s">
        <v>747</v>
      </c>
      <c r="B17" s="9">
        <v>4004</v>
      </c>
      <c r="C17" s="9" t="s">
        <v>751</v>
      </c>
      <c r="D17" s="10">
        <v>41809</v>
      </c>
      <c r="E17" s="9" t="s">
        <v>24</v>
      </c>
      <c r="F17" s="9" t="s">
        <v>523</v>
      </c>
      <c r="G17" s="9" t="s">
        <v>567</v>
      </c>
      <c r="H17" s="9" t="s">
        <v>18</v>
      </c>
      <c r="I17" s="9" t="s">
        <v>568</v>
      </c>
      <c r="J17" s="9">
        <v>98463002</v>
      </c>
      <c r="K17" s="9" t="s">
        <v>58</v>
      </c>
      <c r="L17" s="9" t="s">
        <v>569</v>
      </c>
      <c r="M17" s="9" t="s">
        <v>22</v>
      </c>
      <c r="N17" s="9" t="s">
        <v>23</v>
      </c>
      <c r="O17" s="9" t="s">
        <v>326</v>
      </c>
      <c r="P17" s="9"/>
      <c r="Q17" s="9" t="str">
        <f t="shared" si="1"/>
        <v>SI</v>
      </c>
      <c r="R17" s="8" t="s">
        <v>194</v>
      </c>
      <c r="S17" s="11"/>
      <c r="T17" s="11">
        <v>42087</v>
      </c>
      <c r="U17" s="11">
        <v>41893</v>
      </c>
      <c r="V17" s="11" t="s">
        <v>908</v>
      </c>
      <c r="W17" s="8"/>
      <c r="X17" s="8"/>
      <c r="Y17" s="8"/>
      <c r="Z17" s="8"/>
      <c r="AA17" s="8"/>
      <c r="AB17" s="8"/>
      <c r="AC17" s="8" t="s">
        <v>909</v>
      </c>
      <c r="AD17" s="8" t="s">
        <v>975</v>
      </c>
      <c r="AE17" s="8" t="s">
        <v>1004</v>
      </c>
      <c r="AF17" s="8"/>
      <c r="AG17" s="8"/>
      <c r="AH17" s="32" t="str">
        <f t="shared" si="0"/>
        <v>V</v>
      </c>
    </row>
    <row r="18" spans="1:38" ht="191.25" customHeight="1" x14ac:dyDescent="0.2">
      <c r="A18" s="8" t="s">
        <v>747</v>
      </c>
      <c r="B18" s="9">
        <v>4005</v>
      </c>
      <c r="C18" s="9" t="s">
        <v>751</v>
      </c>
      <c r="D18" s="10">
        <v>41815</v>
      </c>
      <c r="E18" s="9" t="s">
        <v>24</v>
      </c>
      <c r="F18" s="9" t="s">
        <v>25</v>
      </c>
      <c r="G18" s="9" t="s">
        <v>26</v>
      </c>
      <c r="H18" s="9" t="s">
        <v>18</v>
      </c>
      <c r="I18" s="9" t="s">
        <v>30</v>
      </c>
      <c r="J18" s="9">
        <v>32421199</v>
      </c>
      <c r="K18" s="9" t="s">
        <v>20</v>
      </c>
      <c r="L18" s="9" t="s">
        <v>570</v>
      </c>
      <c r="M18" s="9" t="s">
        <v>29</v>
      </c>
      <c r="N18" s="9" t="s">
        <v>23</v>
      </c>
      <c r="O18" s="9" t="s">
        <v>320</v>
      </c>
      <c r="P18" s="9"/>
      <c r="Q18" s="9" t="str">
        <f t="shared" si="1"/>
        <v>SI</v>
      </c>
      <c r="R18" s="8"/>
      <c r="S18" s="11"/>
      <c r="T18" s="11"/>
      <c r="U18" s="11"/>
      <c r="V18" s="11" t="s">
        <v>928</v>
      </c>
      <c r="W18" s="8"/>
      <c r="X18" s="8"/>
      <c r="Y18" s="8"/>
      <c r="Z18" s="8"/>
      <c r="AA18" s="8"/>
      <c r="AB18" s="8"/>
      <c r="AC18" s="8"/>
      <c r="AD18" s="8"/>
      <c r="AE18" s="8"/>
      <c r="AF18" s="8"/>
      <c r="AG18" s="8"/>
      <c r="AH18" s="32" t="str">
        <f t="shared" si="0"/>
        <v>Resuelto</v>
      </c>
    </row>
    <row r="19" spans="1:38" ht="202.5" customHeight="1" x14ac:dyDescent="0.2">
      <c r="A19" s="8" t="s">
        <v>747</v>
      </c>
      <c r="B19" s="9">
        <v>4006</v>
      </c>
      <c r="C19" s="9" t="s">
        <v>751</v>
      </c>
      <c r="D19" s="10">
        <v>41823</v>
      </c>
      <c r="E19" s="9" t="s">
        <v>24</v>
      </c>
      <c r="F19" s="9" t="s">
        <v>25</v>
      </c>
      <c r="G19" s="9" t="s">
        <v>33</v>
      </c>
      <c r="H19" s="9" t="s">
        <v>18</v>
      </c>
      <c r="I19" s="9" t="s">
        <v>571</v>
      </c>
      <c r="J19" s="9">
        <v>71142195</v>
      </c>
      <c r="K19" s="9" t="s">
        <v>20</v>
      </c>
      <c r="L19" s="9" t="s">
        <v>572</v>
      </c>
      <c r="M19" s="9" t="s">
        <v>89</v>
      </c>
      <c r="N19" s="9" t="s">
        <v>23</v>
      </c>
      <c r="O19" s="9" t="s">
        <v>320</v>
      </c>
      <c r="P19" s="9"/>
      <c r="Q19" s="9" t="str">
        <f t="shared" si="1"/>
        <v>SI</v>
      </c>
      <c r="R19" s="8"/>
      <c r="S19" s="11"/>
      <c r="T19" s="11"/>
      <c r="U19" s="11"/>
      <c r="V19" s="11" t="s">
        <v>929</v>
      </c>
      <c r="W19" s="8"/>
      <c r="X19" s="8"/>
      <c r="Y19" s="8"/>
      <c r="Z19" s="8"/>
      <c r="AA19" s="8"/>
      <c r="AB19" s="8"/>
      <c r="AC19" s="8"/>
      <c r="AD19" s="8"/>
      <c r="AE19" s="8"/>
      <c r="AF19" s="8"/>
      <c r="AG19" s="8"/>
      <c r="AH19" s="32" t="str">
        <f t="shared" si="0"/>
        <v>Resuelto</v>
      </c>
    </row>
    <row r="20" spans="1:38" ht="202.5" customHeight="1" x14ac:dyDescent="0.2">
      <c r="A20" s="8" t="s">
        <v>747</v>
      </c>
      <c r="B20" s="9">
        <v>4007</v>
      </c>
      <c r="C20" s="9" t="s">
        <v>751</v>
      </c>
      <c r="D20" s="10">
        <v>41842</v>
      </c>
      <c r="E20" s="9" t="s">
        <v>24</v>
      </c>
      <c r="F20" s="9" t="s">
        <v>32</v>
      </c>
      <c r="G20" s="9" t="s">
        <v>26</v>
      </c>
      <c r="H20" s="9" t="s">
        <v>18</v>
      </c>
      <c r="I20" s="9" t="s">
        <v>573</v>
      </c>
      <c r="J20" s="9">
        <v>22115087</v>
      </c>
      <c r="K20" s="9" t="s">
        <v>574</v>
      </c>
      <c r="L20" s="9" t="s">
        <v>575</v>
      </c>
      <c r="M20" s="9" t="s">
        <v>29</v>
      </c>
      <c r="N20" s="9" t="s">
        <v>23</v>
      </c>
      <c r="O20" s="9" t="s">
        <v>320</v>
      </c>
      <c r="P20" s="9"/>
      <c r="Q20" s="9" t="str">
        <f t="shared" si="1"/>
        <v>SI</v>
      </c>
      <c r="R20" s="8"/>
      <c r="S20" s="11"/>
      <c r="T20" s="11"/>
      <c r="U20" s="11"/>
      <c r="V20" s="11" t="s">
        <v>728</v>
      </c>
      <c r="W20" s="8"/>
      <c r="X20" s="8"/>
      <c r="Y20" s="8"/>
      <c r="Z20" s="8"/>
      <c r="AA20" s="8"/>
      <c r="AB20" s="8"/>
      <c r="AC20" s="8"/>
      <c r="AD20" s="8"/>
      <c r="AE20" s="8"/>
      <c r="AF20" s="8"/>
      <c r="AG20" s="8"/>
      <c r="AH20" s="32" t="str">
        <f t="shared" si="0"/>
        <v>Resuelto</v>
      </c>
    </row>
    <row r="21" spans="1:38" ht="191.25" customHeight="1" x14ac:dyDescent="0.2">
      <c r="A21" s="8" t="s">
        <v>747</v>
      </c>
      <c r="B21" s="9">
        <v>4008</v>
      </c>
      <c r="C21" s="9" t="s">
        <v>751</v>
      </c>
      <c r="D21" s="10">
        <v>41851</v>
      </c>
      <c r="E21" s="9" t="s">
        <v>24</v>
      </c>
      <c r="F21" s="9" t="s">
        <v>524</v>
      </c>
      <c r="G21" s="9" t="s">
        <v>576</v>
      </c>
      <c r="H21" s="9" t="s">
        <v>18</v>
      </c>
      <c r="I21" s="9" t="s">
        <v>577</v>
      </c>
      <c r="J21" s="9">
        <v>43521434</v>
      </c>
      <c r="K21" s="9" t="s">
        <v>43</v>
      </c>
      <c r="L21" s="9" t="s">
        <v>578</v>
      </c>
      <c r="M21" s="9" t="s">
        <v>29</v>
      </c>
      <c r="N21" s="9" t="s">
        <v>23</v>
      </c>
      <c r="O21" s="9" t="s">
        <v>320</v>
      </c>
      <c r="P21" s="9"/>
      <c r="Q21" s="9" t="str">
        <f t="shared" si="1"/>
        <v>SI</v>
      </c>
      <c r="R21" s="8" t="s">
        <v>945</v>
      </c>
      <c r="S21" s="11"/>
      <c r="T21" s="11">
        <v>42076</v>
      </c>
      <c r="U21" s="11"/>
      <c r="V21" s="11"/>
      <c r="W21" s="8"/>
      <c r="X21" s="8"/>
      <c r="Y21" s="8"/>
      <c r="Z21" s="8"/>
      <c r="AA21" s="8"/>
      <c r="AB21" s="8"/>
      <c r="AC21" s="8" t="s">
        <v>967</v>
      </c>
      <c r="AD21" s="8" t="s">
        <v>968</v>
      </c>
      <c r="AE21" s="8"/>
      <c r="AF21" s="8"/>
      <c r="AG21" s="8"/>
      <c r="AH21" s="32" t="str">
        <f t="shared" si="0"/>
        <v>Resuelto</v>
      </c>
    </row>
    <row r="22" spans="1:38" ht="78.75" customHeight="1" x14ac:dyDescent="0.2">
      <c r="A22" s="8" t="s">
        <v>747</v>
      </c>
      <c r="B22" s="9">
        <v>5000</v>
      </c>
      <c r="C22" s="9" t="s">
        <v>512</v>
      </c>
      <c r="D22" s="10">
        <v>41809</v>
      </c>
      <c r="E22" s="9" t="s">
        <v>54</v>
      </c>
      <c r="F22" s="9" t="s">
        <v>271</v>
      </c>
      <c r="G22" s="9" t="s">
        <v>272</v>
      </c>
      <c r="H22" s="9" t="s">
        <v>18</v>
      </c>
      <c r="I22" s="9" t="s">
        <v>483</v>
      </c>
      <c r="J22" s="9">
        <v>43534420</v>
      </c>
      <c r="K22" s="9" t="s">
        <v>58</v>
      </c>
      <c r="L22" s="9" t="s">
        <v>579</v>
      </c>
      <c r="M22" s="9" t="s">
        <v>29</v>
      </c>
      <c r="N22" s="9" t="s">
        <v>23</v>
      </c>
      <c r="O22" s="9" t="s">
        <v>320</v>
      </c>
      <c r="P22" s="9"/>
      <c r="Q22" s="9" t="str">
        <f t="shared" si="1"/>
        <v>SI</v>
      </c>
      <c r="R22" s="8"/>
      <c r="S22" s="11"/>
      <c r="T22" s="11"/>
      <c r="U22" s="11"/>
      <c r="V22" s="11" t="s">
        <v>850</v>
      </c>
      <c r="W22" s="8"/>
      <c r="X22" s="8"/>
      <c r="Y22" s="8"/>
      <c r="Z22" s="8"/>
      <c r="AA22" s="8"/>
      <c r="AB22" s="8"/>
      <c r="AC22" s="8"/>
      <c r="AD22" s="8"/>
      <c r="AE22" s="8"/>
      <c r="AF22" s="8"/>
      <c r="AG22" s="8"/>
      <c r="AH22" s="32" t="str">
        <f t="shared" si="0"/>
        <v>Resuelto</v>
      </c>
    </row>
    <row r="23" spans="1:38" ht="146.25" customHeight="1" x14ac:dyDescent="0.2">
      <c r="A23" s="8" t="s">
        <v>747</v>
      </c>
      <c r="B23" s="9">
        <v>5002</v>
      </c>
      <c r="C23" s="9" t="s">
        <v>512</v>
      </c>
      <c r="D23" s="10">
        <v>41810</v>
      </c>
      <c r="E23" s="9" t="s">
        <v>54</v>
      </c>
      <c r="F23" s="9" t="s">
        <v>271</v>
      </c>
      <c r="G23" s="9" t="s">
        <v>272</v>
      </c>
      <c r="H23" s="9" t="s">
        <v>18</v>
      </c>
      <c r="I23" s="9" t="s">
        <v>580</v>
      </c>
      <c r="J23" s="9">
        <v>3361333</v>
      </c>
      <c r="K23" s="9" t="s">
        <v>58</v>
      </c>
      <c r="L23" s="9" t="s">
        <v>581</v>
      </c>
      <c r="M23" s="9" t="s">
        <v>89</v>
      </c>
      <c r="N23" s="9" t="s">
        <v>23</v>
      </c>
      <c r="O23" s="9" t="s">
        <v>320</v>
      </c>
      <c r="P23" s="9"/>
      <c r="Q23" s="9" t="str">
        <f t="shared" si="1"/>
        <v>SI</v>
      </c>
      <c r="R23" s="8"/>
      <c r="S23" s="11"/>
      <c r="T23" s="11"/>
      <c r="U23" s="11"/>
      <c r="V23" s="11" t="s">
        <v>746</v>
      </c>
      <c r="W23" s="8"/>
      <c r="X23" s="8"/>
      <c r="Y23" s="8"/>
      <c r="Z23" s="8"/>
      <c r="AA23" s="8"/>
      <c r="AB23" s="8"/>
      <c r="AC23" s="8"/>
      <c r="AD23" s="8"/>
      <c r="AE23" s="8"/>
      <c r="AF23" s="8"/>
      <c r="AG23" s="8"/>
      <c r="AH23" s="32" t="str">
        <f t="shared" si="0"/>
        <v>Resuelto</v>
      </c>
    </row>
    <row r="24" spans="1:38" ht="258.75" customHeight="1" x14ac:dyDescent="0.2">
      <c r="A24" s="8" t="s">
        <v>747</v>
      </c>
      <c r="B24" s="9">
        <v>5003</v>
      </c>
      <c r="C24" s="9" t="s">
        <v>512</v>
      </c>
      <c r="D24" s="10">
        <v>41817</v>
      </c>
      <c r="E24" s="9" t="s">
        <v>54</v>
      </c>
      <c r="F24" s="9" t="s">
        <v>90</v>
      </c>
      <c r="G24" s="9" t="s">
        <v>91</v>
      </c>
      <c r="H24" s="9" t="s">
        <v>18</v>
      </c>
      <c r="I24" s="9" t="s">
        <v>582</v>
      </c>
      <c r="J24" s="9">
        <v>3575688</v>
      </c>
      <c r="K24" s="9" t="s">
        <v>43</v>
      </c>
      <c r="L24" s="9" t="s">
        <v>583</v>
      </c>
      <c r="M24" s="9" t="s">
        <v>22</v>
      </c>
      <c r="N24" s="9" t="s">
        <v>23</v>
      </c>
      <c r="O24" s="9" t="s">
        <v>320</v>
      </c>
      <c r="P24" s="9"/>
      <c r="Q24" s="9" t="str">
        <f t="shared" si="1"/>
        <v>SI</v>
      </c>
      <c r="R24" s="8"/>
      <c r="S24" s="11"/>
      <c r="T24" s="11"/>
      <c r="U24" s="11"/>
      <c r="V24" s="11" t="s">
        <v>729</v>
      </c>
      <c r="W24" s="8"/>
      <c r="X24" s="8"/>
      <c r="Y24" s="8"/>
      <c r="Z24" s="8"/>
      <c r="AA24" s="8"/>
      <c r="AB24" s="8"/>
      <c r="AC24" s="8"/>
      <c r="AD24" s="8"/>
      <c r="AE24" s="8"/>
      <c r="AF24" s="8"/>
      <c r="AG24" s="8"/>
      <c r="AH24" s="32" t="str">
        <f t="shared" si="0"/>
        <v>Resuelto</v>
      </c>
    </row>
    <row r="25" spans="1:38" ht="292.5" customHeight="1" x14ac:dyDescent="0.2">
      <c r="A25" s="8" t="s">
        <v>747</v>
      </c>
      <c r="B25" s="9">
        <v>5004</v>
      </c>
      <c r="C25" s="9" t="s">
        <v>512</v>
      </c>
      <c r="D25" s="10">
        <v>41832</v>
      </c>
      <c r="E25" s="9" t="s">
        <v>54</v>
      </c>
      <c r="F25" s="9" t="s">
        <v>70</v>
      </c>
      <c r="G25" s="9" t="s">
        <v>584</v>
      </c>
      <c r="H25" s="9" t="s">
        <v>18</v>
      </c>
      <c r="I25" s="9" t="s">
        <v>585</v>
      </c>
      <c r="J25" s="9">
        <v>15453969</v>
      </c>
      <c r="K25" s="9" t="s">
        <v>43</v>
      </c>
      <c r="L25" s="9" t="s">
        <v>586</v>
      </c>
      <c r="M25" s="9" t="s">
        <v>22</v>
      </c>
      <c r="N25" s="9" t="s">
        <v>23</v>
      </c>
      <c r="O25" s="9" t="s">
        <v>320</v>
      </c>
      <c r="P25" s="9"/>
      <c r="Q25" s="9" t="str">
        <f t="shared" si="1"/>
        <v>SI</v>
      </c>
      <c r="R25" s="8"/>
      <c r="S25" s="11"/>
      <c r="T25" s="11"/>
      <c r="U25" s="11"/>
      <c r="V25" s="11" t="s">
        <v>730</v>
      </c>
      <c r="W25" s="8"/>
      <c r="X25" s="8"/>
      <c r="Y25" s="8"/>
      <c r="Z25" s="8"/>
      <c r="AA25" s="8"/>
      <c r="AB25" s="8"/>
      <c r="AC25" s="8"/>
      <c r="AD25" s="8"/>
      <c r="AE25" s="8"/>
      <c r="AF25" s="8"/>
      <c r="AG25" s="8"/>
      <c r="AH25" s="32" t="str">
        <f t="shared" si="0"/>
        <v>Resuelto</v>
      </c>
    </row>
    <row r="26" spans="1:38" ht="326.25" customHeight="1" x14ac:dyDescent="0.2">
      <c r="A26" s="8" t="s">
        <v>747</v>
      </c>
      <c r="B26" s="9">
        <v>5005</v>
      </c>
      <c r="C26" s="9" t="s">
        <v>512</v>
      </c>
      <c r="D26" s="10">
        <v>41828</v>
      </c>
      <c r="E26" s="9" t="s">
        <v>54</v>
      </c>
      <c r="F26" s="9" t="s">
        <v>306</v>
      </c>
      <c r="G26" s="9" t="s">
        <v>587</v>
      </c>
      <c r="H26" s="9" t="s">
        <v>18</v>
      </c>
      <c r="I26" s="9" t="s">
        <v>588</v>
      </c>
      <c r="J26" s="9">
        <v>1036422489</v>
      </c>
      <c r="K26" s="9" t="s">
        <v>58</v>
      </c>
      <c r="L26" s="9" t="s">
        <v>589</v>
      </c>
      <c r="M26" s="9" t="s">
        <v>22</v>
      </c>
      <c r="N26" s="9" t="s">
        <v>23</v>
      </c>
      <c r="O26" s="9" t="s">
        <v>320</v>
      </c>
      <c r="P26" s="9"/>
      <c r="Q26" s="9" t="str">
        <f t="shared" si="1"/>
        <v>SI</v>
      </c>
      <c r="R26" s="8"/>
      <c r="S26" s="11"/>
      <c r="T26" s="11"/>
      <c r="U26" s="11"/>
      <c r="V26" s="11" t="s">
        <v>731</v>
      </c>
      <c r="W26" s="8"/>
      <c r="X26" s="8"/>
      <c r="Y26" s="8"/>
      <c r="Z26" s="8"/>
      <c r="AA26" s="8"/>
      <c r="AB26" s="8"/>
      <c r="AC26" s="8"/>
      <c r="AD26" s="8"/>
      <c r="AE26" s="8"/>
      <c r="AF26" s="8"/>
      <c r="AG26" s="8"/>
      <c r="AH26" s="32" t="str">
        <f t="shared" si="0"/>
        <v>Resuelto</v>
      </c>
    </row>
    <row r="27" spans="1:38" ht="409.5" customHeight="1" x14ac:dyDescent="0.2">
      <c r="A27" s="8" t="s">
        <v>747</v>
      </c>
      <c r="B27" s="9">
        <v>5006</v>
      </c>
      <c r="C27" s="9" t="s">
        <v>512</v>
      </c>
      <c r="D27" s="10">
        <v>41841</v>
      </c>
      <c r="E27" s="9" t="s">
        <v>54</v>
      </c>
      <c r="F27" s="9" t="s">
        <v>70</v>
      </c>
      <c r="G27" s="9" t="s">
        <v>590</v>
      </c>
      <c r="H27" s="9" t="s">
        <v>18</v>
      </c>
      <c r="I27" s="9" t="s">
        <v>591</v>
      </c>
      <c r="J27" s="9">
        <v>21431002</v>
      </c>
      <c r="K27" s="9" t="s">
        <v>58</v>
      </c>
      <c r="L27" s="9" t="s">
        <v>592</v>
      </c>
      <c r="M27" s="9" t="s">
        <v>22</v>
      </c>
      <c r="N27" s="9" t="s">
        <v>23</v>
      </c>
      <c r="O27" s="9" t="s">
        <v>320</v>
      </c>
      <c r="P27" s="9"/>
      <c r="Q27" s="9" t="str">
        <f t="shared" si="1"/>
        <v>SI</v>
      </c>
      <c r="R27" s="8"/>
      <c r="S27" s="11"/>
      <c r="T27" s="11"/>
      <c r="U27" s="11"/>
      <c r="V27" s="11" t="s">
        <v>732</v>
      </c>
      <c r="W27" s="8"/>
      <c r="X27" s="8"/>
      <c r="Y27" s="8"/>
      <c r="Z27" s="8"/>
      <c r="AA27" s="8"/>
      <c r="AB27" s="8"/>
      <c r="AC27" s="8"/>
      <c r="AD27" s="8"/>
      <c r="AE27" s="8"/>
      <c r="AF27" s="8"/>
      <c r="AG27" s="8"/>
      <c r="AH27" s="32" t="str">
        <f t="shared" si="0"/>
        <v>Resuelto</v>
      </c>
    </row>
    <row r="28" spans="1:38" ht="258.75" customHeight="1" x14ac:dyDescent="0.2">
      <c r="A28" s="8" t="s">
        <v>747</v>
      </c>
      <c r="B28" s="9">
        <v>7000</v>
      </c>
      <c r="C28" s="9" t="s">
        <v>752</v>
      </c>
      <c r="D28" s="10">
        <v>41816</v>
      </c>
      <c r="E28" s="9" t="s">
        <v>45</v>
      </c>
      <c r="F28" s="9" t="s">
        <v>46</v>
      </c>
      <c r="G28" s="9" t="s">
        <v>47</v>
      </c>
      <c r="H28" s="9" t="s">
        <v>18</v>
      </c>
      <c r="I28" s="9" t="s">
        <v>593</v>
      </c>
      <c r="J28" s="9">
        <v>71876980</v>
      </c>
      <c r="K28" s="9" t="s">
        <v>43</v>
      </c>
      <c r="L28" s="9" t="s">
        <v>594</v>
      </c>
      <c r="M28" s="9" t="s">
        <v>29</v>
      </c>
      <c r="N28" s="9" t="s">
        <v>23</v>
      </c>
      <c r="O28" s="9" t="s">
        <v>320</v>
      </c>
      <c r="P28" s="9"/>
      <c r="Q28" s="9" t="str">
        <f t="shared" si="1"/>
        <v>SI</v>
      </c>
      <c r="R28" s="8"/>
      <c r="S28" s="11"/>
      <c r="T28" s="11"/>
      <c r="U28" s="11"/>
      <c r="V28" s="11" t="s">
        <v>913</v>
      </c>
      <c r="W28" s="8"/>
      <c r="X28" s="8"/>
      <c r="Y28" s="8"/>
      <c r="Z28" s="8"/>
      <c r="AA28" s="8"/>
      <c r="AB28" s="8"/>
      <c r="AC28" s="8"/>
      <c r="AD28" s="8"/>
      <c r="AE28" s="8"/>
      <c r="AF28" s="8"/>
      <c r="AG28" s="8"/>
      <c r="AH28" s="32" t="str">
        <f t="shared" si="0"/>
        <v>Resuelto</v>
      </c>
    </row>
    <row r="29" spans="1:38" ht="225" customHeight="1" x14ac:dyDescent="0.2">
      <c r="A29" s="8" t="s">
        <v>747</v>
      </c>
      <c r="B29" s="9">
        <v>7002</v>
      </c>
      <c r="C29" s="9" t="s">
        <v>752</v>
      </c>
      <c r="D29" s="10">
        <v>41815</v>
      </c>
      <c r="E29" s="9" t="s">
        <v>45</v>
      </c>
      <c r="F29" s="9" t="s">
        <v>394</v>
      </c>
      <c r="G29" s="9" t="s">
        <v>595</v>
      </c>
      <c r="H29" s="9" t="s">
        <v>18</v>
      </c>
      <c r="I29" s="9" t="s">
        <v>596</v>
      </c>
      <c r="J29" s="9">
        <v>32106185</v>
      </c>
      <c r="K29" s="9" t="s">
        <v>43</v>
      </c>
      <c r="L29" s="9" t="s">
        <v>597</v>
      </c>
      <c r="M29" s="9" t="s">
        <v>22</v>
      </c>
      <c r="N29" s="9" t="s">
        <v>23</v>
      </c>
      <c r="O29" s="9" t="s">
        <v>320</v>
      </c>
      <c r="P29" s="9"/>
      <c r="Q29" s="9" t="str">
        <f t="shared" si="1"/>
        <v>SI</v>
      </c>
      <c r="R29" s="8"/>
      <c r="S29" s="11"/>
      <c r="T29" s="11"/>
      <c r="U29" s="11"/>
      <c r="V29" s="11" t="s">
        <v>783</v>
      </c>
      <c r="W29" s="8"/>
      <c r="X29" s="8"/>
      <c r="Y29" s="8"/>
      <c r="Z29" s="8"/>
      <c r="AA29" s="8"/>
      <c r="AB29" s="8"/>
      <c r="AC29" s="8"/>
      <c r="AD29" s="8"/>
      <c r="AE29" s="8"/>
      <c r="AF29" s="8"/>
      <c r="AG29" s="8"/>
      <c r="AH29" s="32" t="str">
        <f t="shared" si="0"/>
        <v>Resuelto</v>
      </c>
    </row>
    <row r="30" spans="1:38" ht="213.75" customHeight="1" x14ac:dyDescent="0.2">
      <c r="A30" s="8" t="s">
        <v>747</v>
      </c>
      <c r="B30" s="9">
        <v>7004</v>
      </c>
      <c r="C30" s="9" t="s">
        <v>752</v>
      </c>
      <c r="D30" s="10">
        <v>41835</v>
      </c>
      <c r="E30" s="9" t="s">
        <v>45</v>
      </c>
      <c r="F30" s="9" t="s">
        <v>525</v>
      </c>
      <c r="G30" s="9" t="s">
        <v>598</v>
      </c>
      <c r="H30" s="9" t="s">
        <v>18</v>
      </c>
      <c r="I30" s="9" t="s">
        <v>599</v>
      </c>
      <c r="J30" s="9">
        <v>15372501</v>
      </c>
      <c r="K30" s="9" t="s">
        <v>20</v>
      </c>
      <c r="L30" s="9" t="s">
        <v>600</v>
      </c>
      <c r="M30" s="9" t="s">
        <v>29</v>
      </c>
      <c r="N30" s="9" t="s">
        <v>23</v>
      </c>
      <c r="O30" s="9" t="s">
        <v>320</v>
      </c>
      <c r="P30" s="9"/>
      <c r="Q30" s="9" t="str">
        <f t="shared" si="1"/>
        <v>SI</v>
      </c>
      <c r="R30" s="8"/>
      <c r="S30" s="11"/>
      <c r="T30" s="11"/>
      <c r="U30" s="11"/>
      <c r="V30" s="11" t="s">
        <v>733</v>
      </c>
      <c r="W30" s="8"/>
      <c r="X30" s="8"/>
      <c r="Y30" s="8"/>
      <c r="Z30" s="8"/>
      <c r="AA30" s="8"/>
      <c r="AB30" s="8"/>
      <c r="AC30" s="8"/>
      <c r="AD30" s="8"/>
      <c r="AE30" s="8"/>
      <c r="AF30" s="8"/>
      <c r="AG30" s="8"/>
      <c r="AH30" s="32" t="str">
        <f t="shared" si="0"/>
        <v>Resuelto</v>
      </c>
    </row>
    <row r="31" spans="1:38" ht="101.25" customHeight="1" x14ac:dyDescent="0.2">
      <c r="A31" s="8" t="s">
        <v>747</v>
      </c>
      <c r="B31" s="9">
        <v>7005</v>
      </c>
      <c r="C31" s="9" t="s">
        <v>752</v>
      </c>
      <c r="D31" s="10">
        <v>41835</v>
      </c>
      <c r="E31" s="9" t="s">
        <v>45</v>
      </c>
      <c r="F31" s="9" t="s">
        <v>525</v>
      </c>
      <c r="G31" s="9" t="s">
        <v>598</v>
      </c>
      <c r="H31" s="9" t="s">
        <v>18</v>
      </c>
      <c r="I31" s="9" t="s">
        <v>601</v>
      </c>
      <c r="J31" s="9">
        <v>3474952</v>
      </c>
      <c r="K31" s="9" t="s">
        <v>92</v>
      </c>
      <c r="L31" s="9" t="s">
        <v>602</v>
      </c>
      <c r="M31" s="9" t="s">
        <v>29</v>
      </c>
      <c r="N31" s="9" t="s">
        <v>23</v>
      </c>
      <c r="O31" s="9" t="s">
        <v>326</v>
      </c>
      <c r="P31" s="9"/>
      <c r="Q31" s="9" t="str">
        <f t="shared" si="1"/>
        <v>SI</v>
      </c>
      <c r="R31" s="8" t="s">
        <v>946</v>
      </c>
      <c r="S31" s="11"/>
      <c r="T31" s="11">
        <v>42069</v>
      </c>
      <c r="U31" s="11">
        <v>41841</v>
      </c>
      <c r="V31" s="11" t="s">
        <v>857</v>
      </c>
      <c r="W31" s="8"/>
      <c r="X31" s="8"/>
      <c r="Y31" s="8"/>
      <c r="Z31" s="8"/>
      <c r="AA31" s="8"/>
      <c r="AB31" s="8" t="s">
        <v>864</v>
      </c>
      <c r="AC31" s="8" t="s">
        <v>919</v>
      </c>
      <c r="AD31" s="8"/>
      <c r="AE31" s="8"/>
      <c r="AF31" s="8"/>
      <c r="AG31" s="8"/>
      <c r="AH31" s="32" t="str">
        <f t="shared" si="0"/>
        <v>R</v>
      </c>
      <c r="AL31" s="33"/>
    </row>
    <row r="32" spans="1:38" ht="202.5" customHeight="1" x14ac:dyDescent="0.2">
      <c r="A32" s="8" t="s">
        <v>747</v>
      </c>
      <c r="B32" s="9">
        <v>7006</v>
      </c>
      <c r="C32" s="9" t="s">
        <v>752</v>
      </c>
      <c r="D32" s="10">
        <v>41834</v>
      </c>
      <c r="E32" s="9" t="s">
        <v>45</v>
      </c>
      <c r="F32" s="9" t="s">
        <v>407</v>
      </c>
      <c r="G32" s="9" t="s">
        <v>603</v>
      </c>
      <c r="H32" s="9" t="s">
        <v>18</v>
      </c>
      <c r="I32" s="9" t="s">
        <v>599</v>
      </c>
      <c r="J32" s="9">
        <v>15372501</v>
      </c>
      <c r="K32" s="9" t="s">
        <v>20</v>
      </c>
      <c r="L32" s="9" t="s">
        <v>604</v>
      </c>
      <c r="M32" s="9" t="s">
        <v>29</v>
      </c>
      <c r="N32" s="9" t="s">
        <v>23</v>
      </c>
      <c r="O32" s="9" t="s">
        <v>320</v>
      </c>
      <c r="P32" s="9"/>
      <c r="Q32" s="9" t="str">
        <f t="shared" si="1"/>
        <v>SI</v>
      </c>
      <c r="R32" s="8"/>
      <c r="S32" s="11"/>
      <c r="T32" s="11"/>
      <c r="U32" s="11"/>
      <c r="V32" s="11" t="s">
        <v>914</v>
      </c>
      <c r="W32" s="8"/>
      <c r="X32" s="8"/>
      <c r="Y32" s="8"/>
      <c r="Z32" s="8"/>
      <c r="AA32" s="8"/>
      <c r="AB32" s="8"/>
      <c r="AC32" s="8"/>
      <c r="AD32" s="8"/>
      <c r="AE32" s="8"/>
      <c r="AF32" s="8"/>
      <c r="AG32" s="8"/>
      <c r="AH32" s="32" t="str">
        <f t="shared" si="0"/>
        <v>Resuelto</v>
      </c>
    </row>
    <row r="33" spans="1:38" ht="213.75" customHeight="1" x14ac:dyDescent="0.2">
      <c r="A33" s="8" t="s">
        <v>747</v>
      </c>
      <c r="B33" s="9">
        <v>7007</v>
      </c>
      <c r="C33" s="9" t="s">
        <v>752</v>
      </c>
      <c r="D33" s="10">
        <v>41835</v>
      </c>
      <c r="E33" s="9" t="s">
        <v>45</v>
      </c>
      <c r="F33" s="9" t="s">
        <v>525</v>
      </c>
      <c r="G33" s="9" t="s">
        <v>605</v>
      </c>
      <c r="H33" s="9" t="s">
        <v>18</v>
      </c>
      <c r="I33" s="9" t="s">
        <v>606</v>
      </c>
      <c r="J33" s="9">
        <v>32106185</v>
      </c>
      <c r="K33" s="9" t="s">
        <v>92</v>
      </c>
      <c r="L33" s="9" t="s">
        <v>607</v>
      </c>
      <c r="M33" s="9" t="s">
        <v>22</v>
      </c>
      <c r="N33" s="9" t="s">
        <v>23</v>
      </c>
      <c r="O33" s="9" t="s">
        <v>320</v>
      </c>
      <c r="P33" s="9"/>
      <c r="Q33" s="9" t="str">
        <f t="shared" si="1"/>
        <v>SI</v>
      </c>
      <c r="R33" s="8"/>
      <c r="S33" s="11"/>
      <c r="T33" s="11"/>
      <c r="U33" s="11"/>
      <c r="V33" s="11" t="s">
        <v>784</v>
      </c>
      <c r="W33" s="8"/>
      <c r="X33" s="8"/>
      <c r="Y33" s="8"/>
      <c r="Z33" s="8"/>
      <c r="AA33" s="8"/>
      <c r="AB33" s="8"/>
      <c r="AC33" s="8"/>
      <c r="AD33" s="8"/>
      <c r="AE33" s="8"/>
      <c r="AF33" s="8"/>
      <c r="AG33" s="8"/>
      <c r="AH33" s="32" t="str">
        <f t="shared" si="0"/>
        <v>Resuelto</v>
      </c>
    </row>
    <row r="34" spans="1:38" ht="225" customHeight="1" x14ac:dyDescent="0.2">
      <c r="A34" s="8" t="s">
        <v>747</v>
      </c>
      <c r="B34" s="9">
        <v>7008</v>
      </c>
      <c r="C34" s="9" t="s">
        <v>752</v>
      </c>
      <c r="D34" s="10">
        <v>41843</v>
      </c>
      <c r="E34" s="9" t="s">
        <v>45</v>
      </c>
      <c r="F34" s="9" t="s">
        <v>407</v>
      </c>
      <c r="G34" s="9" t="s">
        <v>408</v>
      </c>
      <c r="H34" s="9" t="s">
        <v>18</v>
      </c>
      <c r="I34" s="9" t="s">
        <v>608</v>
      </c>
      <c r="J34" s="9">
        <v>8460817</v>
      </c>
      <c r="K34" s="9" t="s">
        <v>43</v>
      </c>
      <c r="L34" s="9" t="s">
        <v>609</v>
      </c>
      <c r="M34" s="9" t="s">
        <v>29</v>
      </c>
      <c r="N34" s="9" t="s">
        <v>23</v>
      </c>
      <c r="O34" s="9" t="s">
        <v>326</v>
      </c>
      <c r="P34" s="9"/>
      <c r="Q34" s="9" t="str">
        <f t="shared" si="1"/>
        <v>SI</v>
      </c>
      <c r="R34" s="8" t="s">
        <v>946</v>
      </c>
      <c r="S34" s="11"/>
      <c r="T34" s="11">
        <v>42069</v>
      </c>
      <c r="U34" s="11">
        <v>41860</v>
      </c>
      <c r="V34" s="11" t="s">
        <v>858</v>
      </c>
      <c r="W34" s="8"/>
      <c r="X34" s="8"/>
      <c r="Y34" s="8"/>
      <c r="Z34" s="8"/>
      <c r="AA34" s="8"/>
      <c r="AB34" s="8" t="s">
        <v>867</v>
      </c>
      <c r="AC34" s="8" t="s">
        <v>919</v>
      </c>
      <c r="AD34" s="8"/>
      <c r="AE34" s="8"/>
      <c r="AF34" s="8"/>
      <c r="AG34" s="8"/>
      <c r="AH34" s="32" t="str">
        <f t="shared" ref="AH34:AH65" si="2">IF(O34="Por iniciar","Por iniciar",(IF(O34&lt;&gt;"Resuelto",IF($AI$1-T34&lt;8,"V",IF($AI$1-T34&lt;15,"A","R")),"Resuelto")))</f>
        <v>R</v>
      </c>
      <c r="AL34" s="33"/>
    </row>
    <row r="35" spans="1:38" ht="191.25" customHeight="1" x14ac:dyDescent="0.2">
      <c r="A35" s="8" t="s">
        <v>747</v>
      </c>
      <c r="B35" s="9">
        <v>7009</v>
      </c>
      <c r="C35" s="9" t="s">
        <v>752</v>
      </c>
      <c r="D35" s="10">
        <v>41845</v>
      </c>
      <c r="E35" s="9" t="s">
        <v>45</v>
      </c>
      <c r="F35" s="9" t="s">
        <v>407</v>
      </c>
      <c r="G35" s="9" t="s">
        <v>408</v>
      </c>
      <c r="H35" s="9" t="s">
        <v>18</v>
      </c>
      <c r="I35" s="9" t="s">
        <v>610</v>
      </c>
      <c r="J35" s="9">
        <v>42769822</v>
      </c>
      <c r="K35" s="9" t="s">
        <v>43</v>
      </c>
      <c r="L35" s="9" t="s">
        <v>611</v>
      </c>
      <c r="M35" s="9" t="s">
        <v>29</v>
      </c>
      <c r="N35" s="9" t="s">
        <v>23</v>
      </c>
      <c r="O35" s="9" t="s">
        <v>320</v>
      </c>
      <c r="P35" s="9"/>
      <c r="Q35" s="9" t="str">
        <f t="shared" si="1"/>
        <v>SI</v>
      </c>
      <c r="R35" s="8"/>
      <c r="S35" s="11"/>
      <c r="T35" s="11"/>
      <c r="U35" s="11"/>
      <c r="V35" s="11" t="s">
        <v>915</v>
      </c>
      <c r="W35" s="8"/>
      <c r="X35" s="8"/>
      <c r="Y35" s="8"/>
      <c r="Z35" s="8"/>
      <c r="AA35" s="8"/>
      <c r="AB35" s="8"/>
      <c r="AC35" s="8"/>
      <c r="AD35" s="8"/>
      <c r="AE35" s="8"/>
      <c r="AF35" s="8"/>
      <c r="AG35" s="8"/>
      <c r="AH35" s="32" t="str">
        <f t="shared" si="2"/>
        <v>Resuelto</v>
      </c>
    </row>
    <row r="36" spans="1:38" ht="157.5" customHeight="1" x14ac:dyDescent="0.2">
      <c r="A36" s="8" t="s">
        <v>747</v>
      </c>
      <c r="B36" s="9">
        <v>7010</v>
      </c>
      <c r="C36" s="9" t="s">
        <v>752</v>
      </c>
      <c r="D36" s="10">
        <v>41852</v>
      </c>
      <c r="E36" s="9" t="s">
        <v>45</v>
      </c>
      <c r="F36" s="9" t="s">
        <v>526</v>
      </c>
      <c r="G36" s="9" t="s">
        <v>612</v>
      </c>
      <c r="H36" s="9" t="s">
        <v>18</v>
      </c>
      <c r="I36" s="9" t="s">
        <v>613</v>
      </c>
      <c r="J36" s="9">
        <v>70255237</v>
      </c>
      <c r="K36" s="9" t="s">
        <v>58</v>
      </c>
      <c r="L36" s="9" t="s">
        <v>614</v>
      </c>
      <c r="M36" s="9" t="s">
        <v>29</v>
      </c>
      <c r="N36" s="9" t="s">
        <v>23</v>
      </c>
      <c r="O36" s="9" t="s">
        <v>326</v>
      </c>
      <c r="P36" s="9"/>
      <c r="Q36" s="9" t="str">
        <f t="shared" si="1"/>
        <v>SI</v>
      </c>
      <c r="R36" s="8" t="s">
        <v>946</v>
      </c>
      <c r="S36" s="11"/>
      <c r="T36" s="11">
        <v>42069</v>
      </c>
      <c r="U36" s="11">
        <v>41907</v>
      </c>
      <c r="V36" s="11" t="s">
        <v>859</v>
      </c>
      <c r="W36" s="8"/>
      <c r="X36" s="8"/>
      <c r="Y36" s="8"/>
      <c r="Z36" s="8"/>
      <c r="AA36" s="8"/>
      <c r="AB36" s="8" t="s">
        <v>866</v>
      </c>
      <c r="AC36" s="8" t="s">
        <v>919</v>
      </c>
      <c r="AD36" s="8"/>
      <c r="AE36" s="8"/>
      <c r="AF36" s="8"/>
      <c r="AG36" s="8"/>
      <c r="AH36" s="32" t="str">
        <f t="shared" si="2"/>
        <v>R</v>
      </c>
      <c r="AL36" s="33"/>
    </row>
    <row r="37" spans="1:38" ht="112.5" customHeight="1" x14ac:dyDescent="0.2">
      <c r="A37" s="8" t="s">
        <v>747</v>
      </c>
      <c r="B37" s="9">
        <v>7011</v>
      </c>
      <c r="C37" s="9" t="s">
        <v>752</v>
      </c>
      <c r="D37" s="10">
        <v>41856</v>
      </c>
      <c r="E37" s="9" t="s">
        <v>45</v>
      </c>
      <c r="F37" s="9" t="s">
        <v>407</v>
      </c>
      <c r="G37" s="9" t="s">
        <v>603</v>
      </c>
      <c r="H37" s="9" t="s">
        <v>18</v>
      </c>
      <c r="I37" s="9" t="s">
        <v>615</v>
      </c>
      <c r="J37" s="9">
        <v>32523171</v>
      </c>
      <c r="K37" s="9" t="s">
        <v>92</v>
      </c>
      <c r="L37" s="9" t="s">
        <v>616</v>
      </c>
      <c r="M37" s="9" t="s">
        <v>29</v>
      </c>
      <c r="N37" s="9" t="s">
        <v>23</v>
      </c>
      <c r="O37" s="9" t="s">
        <v>326</v>
      </c>
      <c r="P37" s="9"/>
      <c r="Q37" s="9" t="str">
        <f t="shared" si="1"/>
        <v>SI</v>
      </c>
      <c r="R37" s="8" t="s">
        <v>946</v>
      </c>
      <c r="S37" s="11"/>
      <c r="T37" s="11">
        <v>42069</v>
      </c>
      <c r="U37" s="11">
        <v>41907</v>
      </c>
      <c r="V37" s="11" t="s">
        <v>860</v>
      </c>
      <c r="W37" s="8"/>
      <c r="X37" s="8"/>
      <c r="Y37" s="8"/>
      <c r="Z37" s="8"/>
      <c r="AA37" s="8"/>
      <c r="AB37" s="8" t="s">
        <v>865</v>
      </c>
      <c r="AC37" s="8" t="s">
        <v>919</v>
      </c>
      <c r="AD37" s="8"/>
      <c r="AE37" s="8"/>
      <c r="AF37" s="8"/>
      <c r="AG37" s="8"/>
      <c r="AH37" s="32" t="str">
        <f t="shared" si="2"/>
        <v>R</v>
      </c>
      <c r="AL37" s="33"/>
    </row>
    <row r="38" spans="1:38" ht="67.5" customHeight="1" x14ac:dyDescent="0.2">
      <c r="A38" s="8" t="s">
        <v>747</v>
      </c>
      <c r="B38" s="9">
        <v>7012</v>
      </c>
      <c r="C38" s="9" t="s">
        <v>752</v>
      </c>
      <c r="D38" s="10">
        <v>41860</v>
      </c>
      <c r="E38" s="9" t="s">
        <v>45</v>
      </c>
      <c r="F38" s="9" t="s">
        <v>407</v>
      </c>
      <c r="G38" s="9" t="s">
        <v>603</v>
      </c>
      <c r="H38" s="9" t="s">
        <v>18</v>
      </c>
      <c r="I38" s="9" t="s">
        <v>617</v>
      </c>
      <c r="J38" s="9">
        <v>15532586</v>
      </c>
      <c r="K38" s="9" t="s">
        <v>43</v>
      </c>
      <c r="L38" s="9" t="s">
        <v>618</v>
      </c>
      <c r="M38" s="9" t="s">
        <v>29</v>
      </c>
      <c r="N38" s="9" t="s">
        <v>23</v>
      </c>
      <c r="O38" s="9" t="s">
        <v>326</v>
      </c>
      <c r="P38" s="9"/>
      <c r="Q38" s="9" t="str">
        <f t="shared" si="1"/>
        <v>SI</v>
      </c>
      <c r="R38" s="8" t="s">
        <v>946</v>
      </c>
      <c r="S38" s="11"/>
      <c r="T38" s="11">
        <v>42080</v>
      </c>
      <c r="U38" s="11">
        <v>41908</v>
      </c>
      <c r="V38" s="11" t="s">
        <v>861</v>
      </c>
      <c r="W38" s="8"/>
      <c r="X38" s="8"/>
      <c r="Y38" s="8"/>
      <c r="Z38" s="8"/>
      <c r="AA38" s="8"/>
      <c r="AB38" s="8" t="s">
        <v>864</v>
      </c>
      <c r="AC38" s="8" t="s">
        <v>919</v>
      </c>
      <c r="AD38" s="38" t="s">
        <v>994</v>
      </c>
      <c r="AE38" s="38"/>
      <c r="AF38" s="8"/>
      <c r="AG38" s="8"/>
      <c r="AH38" s="32" t="str">
        <f t="shared" si="2"/>
        <v>V</v>
      </c>
      <c r="AL38" s="33"/>
    </row>
    <row r="39" spans="1:38" ht="202.5" customHeight="1" x14ac:dyDescent="0.2">
      <c r="A39" s="8" t="s">
        <v>747</v>
      </c>
      <c r="B39" s="9">
        <v>7013</v>
      </c>
      <c r="C39" s="9" t="s">
        <v>752</v>
      </c>
      <c r="D39" s="10">
        <v>41860</v>
      </c>
      <c r="E39" s="9" t="s">
        <v>45</v>
      </c>
      <c r="F39" s="9" t="s">
        <v>407</v>
      </c>
      <c r="G39" s="9" t="s">
        <v>408</v>
      </c>
      <c r="H39" s="9" t="s">
        <v>18</v>
      </c>
      <c r="I39" s="9" t="s">
        <v>619</v>
      </c>
      <c r="J39" s="9">
        <v>8456144</v>
      </c>
      <c r="K39" s="9" t="s">
        <v>43</v>
      </c>
      <c r="L39" s="9" t="s">
        <v>620</v>
      </c>
      <c r="M39" s="9" t="s">
        <v>29</v>
      </c>
      <c r="N39" s="9" t="s">
        <v>23</v>
      </c>
      <c r="O39" s="9" t="s">
        <v>320</v>
      </c>
      <c r="P39" s="9"/>
      <c r="Q39" s="9" t="str">
        <f t="shared" si="1"/>
        <v>SI</v>
      </c>
      <c r="R39" s="8"/>
      <c r="S39" s="11"/>
      <c r="T39" s="11"/>
      <c r="U39" s="11"/>
      <c r="V39" s="11" t="s">
        <v>916</v>
      </c>
      <c r="W39" s="8"/>
      <c r="X39" s="8"/>
      <c r="Y39" s="8"/>
      <c r="Z39" s="8"/>
      <c r="AA39" s="8"/>
      <c r="AB39" s="8"/>
      <c r="AC39" s="8"/>
      <c r="AD39" s="8"/>
      <c r="AE39" s="8"/>
      <c r="AF39" s="8"/>
      <c r="AG39" s="8"/>
      <c r="AH39" s="32" t="str">
        <f t="shared" si="2"/>
        <v>Resuelto</v>
      </c>
    </row>
    <row r="40" spans="1:38" ht="67.5" customHeight="1" x14ac:dyDescent="0.2">
      <c r="A40" s="8" t="s">
        <v>747</v>
      </c>
      <c r="B40" s="9">
        <v>7014</v>
      </c>
      <c r="C40" s="9" t="s">
        <v>752</v>
      </c>
      <c r="D40" s="10">
        <v>41857</v>
      </c>
      <c r="E40" s="9" t="s">
        <v>45</v>
      </c>
      <c r="F40" s="9" t="s">
        <v>527</v>
      </c>
      <c r="G40" s="9" t="s">
        <v>621</v>
      </c>
      <c r="H40" s="9" t="s">
        <v>18</v>
      </c>
      <c r="I40" s="9" t="s">
        <v>622</v>
      </c>
      <c r="J40" s="9">
        <v>39380819</v>
      </c>
      <c r="K40" s="9" t="s">
        <v>43</v>
      </c>
      <c r="L40" s="9" t="s">
        <v>623</v>
      </c>
      <c r="M40" s="9" t="s">
        <v>29</v>
      </c>
      <c r="N40" s="9" t="s">
        <v>23</v>
      </c>
      <c r="O40" s="9" t="s">
        <v>326</v>
      </c>
      <c r="P40" s="9"/>
      <c r="Q40" s="9" t="str">
        <f t="shared" si="1"/>
        <v>SI</v>
      </c>
      <c r="R40" s="8" t="s">
        <v>946</v>
      </c>
      <c r="S40" s="11"/>
      <c r="T40" s="11">
        <v>42080</v>
      </c>
      <c r="U40" s="11">
        <v>41910</v>
      </c>
      <c r="V40" s="11" t="s">
        <v>862</v>
      </c>
      <c r="W40" s="8"/>
      <c r="X40" s="8"/>
      <c r="Y40" s="8"/>
      <c r="Z40" s="8"/>
      <c r="AA40" s="8"/>
      <c r="AB40" s="8"/>
      <c r="AC40" s="8" t="s">
        <v>919</v>
      </c>
      <c r="AD40" s="8" t="s">
        <v>993</v>
      </c>
      <c r="AE40" s="8"/>
      <c r="AF40" s="8"/>
      <c r="AG40" s="8"/>
      <c r="AH40" s="32" t="str">
        <f t="shared" si="2"/>
        <v>V</v>
      </c>
      <c r="AL40" s="33"/>
    </row>
    <row r="41" spans="1:38" ht="236.25" customHeight="1" x14ac:dyDescent="0.2">
      <c r="A41" s="8" t="s">
        <v>747</v>
      </c>
      <c r="B41" s="9">
        <v>7015</v>
      </c>
      <c r="C41" s="9" t="s">
        <v>752</v>
      </c>
      <c r="D41" s="10">
        <v>41855</v>
      </c>
      <c r="E41" s="9" t="s">
        <v>45</v>
      </c>
      <c r="F41" s="9" t="s">
        <v>407</v>
      </c>
      <c r="G41" s="9" t="s">
        <v>603</v>
      </c>
      <c r="H41" s="9" t="s">
        <v>18</v>
      </c>
      <c r="I41" s="9" t="s">
        <v>624</v>
      </c>
      <c r="J41" s="9">
        <v>8461124</v>
      </c>
      <c r="K41" s="9" t="s">
        <v>92</v>
      </c>
      <c r="L41" s="9" t="s">
        <v>625</v>
      </c>
      <c r="M41" s="9" t="s">
        <v>29</v>
      </c>
      <c r="N41" s="9" t="s">
        <v>23</v>
      </c>
      <c r="O41" s="9" t="s">
        <v>320</v>
      </c>
      <c r="P41" s="9"/>
      <c r="Q41" s="9" t="str">
        <f t="shared" si="1"/>
        <v>SI</v>
      </c>
      <c r="R41" s="8"/>
      <c r="S41" s="11"/>
      <c r="T41" s="11"/>
      <c r="U41" s="11"/>
      <c r="V41" s="11" t="s">
        <v>917</v>
      </c>
      <c r="W41" s="8"/>
      <c r="X41" s="8"/>
      <c r="Y41" s="8"/>
      <c r="Z41" s="8"/>
      <c r="AA41" s="8"/>
      <c r="AB41" s="8"/>
      <c r="AC41" s="8"/>
      <c r="AD41" s="8"/>
      <c r="AE41" s="8"/>
      <c r="AF41" s="8"/>
      <c r="AG41" s="8"/>
      <c r="AH41" s="32" t="str">
        <f t="shared" si="2"/>
        <v>Resuelto</v>
      </c>
    </row>
    <row r="42" spans="1:38" ht="56.25" customHeight="1" x14ac:dyDescent="0.2">
      <c r="A42" s="8" t="s">
        <v>747</v>
      </c>
      <c r="B42" s="9">
        <v>7016</v>
      </c>
      <c r="C42" s="9" t="s">
        <v>752</v>
      </c>
      <c r="D42" s="10">
        <v>41880</v>
      </c>
      <c r="E42" s="9" t="s">
        <v>45</v>
      </c>
      <c r="F42" s="9" t="s">
        <v>527</v>
      </c>
      <c r="G42" s="9" t="s">
        <v>93</v>
      </c>
      <c r="H42" s="9" t="s">
        <v>18</v>
      </c>
      <c r="I42" s="9" t="s">
        <v>626</v>
      </c>
      <c r="J42" s="9">
        <v>8433143</v>
      </c>
      <c r="K42" s="9" t="s">
        <v>58</v>
      </c>
      <c r="L42" s="9" t="s">
        <v>627</v>
      </c>
      <c r="M42" s="9" t="s">
        <v>22</v>
      </c>
      <c r="N42" s="9" t="s">
        <v>23</v>
      </c>
      <c r="O42" s="9" t="s">
        <v>326</v>
      </c>
      <c r="P42" s="9"/>
      <c r="Q42" s="9" t="str">
        <f t="shared" si="1"/>
        <v>SI</v>
      </c>
      <c r="R42" s="8" t="s">
        <v>946</v>
      </c>
      <c r="S42" s="11"/>
      <c r="T42" s="11">
        <v>42080</v>
      </c>
      <c r="U42" s="11">
        <v>41910</v>
      </c>
      <c r="V42" s="11" t="s">
        <v>863</v>
      </c>
      <c r="W42" s="8"/>
      <c r="X42" s="8"/>
      <c r="Y42" s="8"/>
      <c r="Z42" s="8"/>
      <c r="AA42" s="8"/>
      <c r="AB42" s="8" t="s">
        <v>868</v>
      </c>
      <c r="AC42" s="8" t="s">
        <v>919</v>
      </c>
      <c r="AD42" s="8" t="s">
        <v>991</v>
      </c>
      <c r="AE42" s="8"/>
      <c r="AF42" s="8"/>
      <c r="AG42" s="8"/>
      <c r="AH42" s="32" t="str">
        <f t="shared" si="2"/>
        <v>V</v>
      </c>
      <c r="AL42" s="33"/>
    </row>
    <row r="43" spans="1:38" ht="67.5" customHeight="1" x14ac:dyDescent="0.2">
      <c r="A43" s="8" t="s">
        <v>931</v>
      </c>
      <c r="B43" s="9">
        <v>7020</v>
      </c>
      <c r="C43" s="9" t="s">
        <v>752</v>
      </c>
      <c r="D43" s="10">
        <v>42023</v>
      </c>
      <c r="E43" s="9" t="s">
        <v>520</v>
      </c>
      <c r="F43" s="9" t="s">
        <v>528</v>
      </c>
      <c r="G43" s="9" t="s">
        <v>628</v>
      </c>
      <c r="H43" s="9" t="s">
        <v>18</v>
      </c>
      <c r="I43" s="9" t="s">
        <v>629</v>
      </c>
      <c r="J43" s="9">
        <v>70877624</v>
      </c>
      <c r="K43" s="9" t="s">
        <v>43</v>
      </c>
      <c r="L43" s="9" t="s">
        <v>630</v>
      </c>
      <c r="M43" s="9" t="s">
        <v>22</v>
      </c>
      <c r="N43" s="9" t="s">
        <v>23</v>
      </c>
      <c r="O43" s="9" t="s">
        <v>326</v>
      </c>
      <c r="P43" s="9"/>
      <c r="Q43" s="9" t="str">
        <f t="shared" si="1"/>
        <v>SI</v>
      </c>
      <c r="R43" s="8"/>
      <c r="S43" s="11"/>
      <c r="T43" s="11">
        <v>42083</v>
      </c>
      <c r="U43" s="11"/>
      <c r="V43" s="11" t="s">
        <v>758</v>
      </c>
      <c r="W43" s="8"/>
      <c r="X43" s="8"/>
      <c r="Y43" s="8"/>
      <c r="Z43" s="8"/>
      <c r="AA43" s="8"/>
      <c r="AB43" s="8"/>
      <c r="AC43" s="8"/>
      <c r="AD43" s="8"/>
      <c r="AE43" s="8" t="s">
        <v>1002</v>
      </c>
      <c r="AF43" s="8"/>
      <c r="AG43" s="8"/>
      <c r="AH43" s="32" t="str">
        <f t="shared" si="2"/>
        <v>V</v>
      </c>
    </row>
    <row r="44" spans="1:38" ht="56.25" customHeight="1" x14ac:dyDescent="0.2">
      <c r="A44" s="8" t="s">
        <v>931</v>
      </c>
      <c r="B44" s="9">
        <v>7021</v>
      </c>
      <c r="C44" s="9" t="s">
        <v>752</v>
      </c>
      <c r="D44" s="10">
        <v>42023</v>
      </c>
      <c r="E44" s="9" t="s">
        <v>45</v>
      </c>
      <c r="F44" s="9" t="s">
        <v>529</v>
      </c>
      <c r="G44" s="9" t="s">
        <v>631</v>
      </c>
      <c r="H44" s="9" t="s">
        <v>18</v>
      </c>
      <c r="I44" s="9" t="s">
        <v>632</v>
      </c>
      <c r="J44" s="9">
        <v>39164654</v>
      </c>
      <c r="K44" s="9" t="s">
        <v>58</v>
      </c>
      <c r="L44" s="9" t="s">
        <v>633</v>
      </c>
      <c r="M44" s="9" t="s">
        <v>22</v>
      </c>
      <c r="N44" s="9" t="s">
        <v>23</v>
      </c>
      <c r="O44" s="9" t="s">
        <v>320</v>
      </c>
      <c r="P44" s="9"/>
      <c r="Q44" s="9" t="str">
        <f t="shared" si="1"/>
        <v>SI</v>
      </c>
      <c r="R44" s="8" t="s">
        <v>946</v>
      </c>
      <c r="S44" s="11"/>
      <c r="T44" s="11">
        <v>42080</v>
      </c>
      <c r="U44" s="11"/>
      <c r="V44" s="11" t="s">
        <v>840</v>
      </c>
      <c r="W44" s="8"/>
      <c r="X44" s="8"/>
      <c r="Y44" s="8"/>
      <c r="Z44" s="8"/>
      <c r="AA44" s="8"/>
      <c r="AB44" s="8"/>
      <c r="AC44" s="8" t="s">
        <v>919</v>
      </c>
      <c r="AD44" s="8" t="s">
        <v>991</v>
      </c>
      <c r="AE44" s="8" t="s">
        <v>1001</v>
      </c>
      <c r="AF44" s="8"/>
      <c r="AG44" s="8"/>
      <c r="AH44" s="32" t="str">
        <f t="shared" si="2"/>
        <v>Resuelto</v>
      </c>
      <c r="AJ44" s="33" t="s">
        <v>1007</v>
      </c>
      <c r="AK44" s="33" t="s">
        <v>1008</v>
      </c>
      <c r="AL44" s="33"/>
    </row>
    <row r="45" spans="1:38" ht="214.5" customHeight="1" x14ac:dyDescent="0.2">
      <c r="A45" s="8" t="s">
        <v>747</v>
      </c>
      <c r="B45" s="9">
        <v>8000</v>
      </c>
      <c r="C45" s="9" t="s">
        <v>753</v>
      </c>
      <c r="D45" s="10">
        <v>41809</v>
      </c>
      <c r="E45" s="9" t="s">
        <v>45</v>
      </c>
      <c r="F45" s="9" t="s">
        <v>530</v>
      </c>
      <c r="G45" s="9" t="s">
        <v>634</v>
      </c>
      <c r="H45" s="9" t="s">
        <v>18</v>
      </c>
      <c r="I45" s="9" t="s">
        <v>635</v>
      </c>
      <c r="J45" s="9">
        <v>6455388</v>
      </c>
      <c r="K45" s="9" t="s">
        <v>58</v>
      </c>
      <c r="L45" s="9" t="s">
        <v>636</v>
      </c>
      <c r="M45" s="9" t="s">
        <v>22</v>
      </c>
      <c r="N45" s="9" t="s">
        <v>23</v>
      </c>
      <c r="O45" s="9" t="s">
        <v>326</v>
      </c>
      <c r="P45" s="9"/>
      <c r="Q45" s="9" t="str">
        <f t="shared" si="1"/>
        <v>SI</v>
      </c>
      <c r="R45" s="8" t="s">
        <v>946</v>
      </c>
      <c r="S45" s="11"/>
      <c r="T45" s="11">
        <v>42080</v>
      </c>
      <c r="U45" s="11"/>
      <c r="V45" s="11" t="s">
        <v>901</v>
      </c>
      <c r="W45" s="8"/>
      <c r="X45" s="8"/>
      <c r="Y45" s="8"/>
      <c r="Z45" s="8"/>
      <c r="AA45" s="8"/>
      <c r="AB45" s="8"/>
      <c r="AC45" s="8" t="s">
        <v>919</v>
      </c>
      <c r="AD45" s="8" t="s">
        <v>991</v>
      </c>
      <c r="AE45" s="8"/>
      <c r="AF45" s="8"/>
      <c r="AG45" s="8"/>
      <c r="AH45" s="32" t="str">
        <f t="shared" si="2"/>
        <v>V</v>
      </c>
      <c r="AL45" s="33"/>
    </row>
    <row r="46" spans="1:38" ht="236.25" customHeight="1" x14ac:dyDescent="0.2">
      <c r="A46" s="8" t="s">
        <v>747</v>
      </c>
      <c r="B46" s="9">
        <v>8002</v>
      </c>
      <c r="C46" s="9" t="s">
        <v>753</v>
      </c>
      <c r="D46" s="10">
        <v>41809</v>
      </c>
      <c r="E46" s="9" t="s">
        <v>45</v>
      </c>
      <c r="F46" s="9" t="s">
        <v>530</v>
      </c>
      <c r="G46" s="9" t="s">
        <v>634</v>
      </c>
      <c r="H46" s="9" t="s">
        <v>18</v>
      </c>
      <c r="I46" s="9" t="s">
        <v>637</v>
      </c>
      <c r="J46" s="9">
        <v>71493004</v>
      </c>
      <c r="K46" s="9" t="s">
        <v>58</v>
      </c>
      <c r="L46" s="9" t="s">
        <v>638</v>
      </c>
      <c r="M46" s="9" t="s">
        <v>22</v>
      </c>
      <c r="N46" s="9" t="s">
        <v>23</v>
      </c>
      <c r="O46" s="9" t="s">
        <v>320</v>
      </c>
      <c r="P46" s="9"/>
      <c r="Q46" s="9" t="str">
        <f t="shared" si="1"/>
        <v>SI</v>
      </c>
      <c r="R46" s="8"/>
      <c r="S46" s="11"/>
      <c r="T46" s="11"/>
      <c r="U46" s="11"/>
      <c r="V46" s="11" t="s">
        <v>918</v>
      </c>
      <c r="W46" s="8"/>
      <c r="X46" s="8"/>
      <c r="Y46" s="8"/>
      <c r="Z46" s="8"/>
      <c r="AA46" s="8"/>
      <c r="AB46" s="8"/>
      <c r="AC46" s="8"/>
      <c r="AD46" s="8"/>
      <c r="AE46" s="8"/>
      <c r="AF46" s="8"/>
      <c r="AG46" s="8"/>
      <c r="AH46" s="32" t="str">
        <f t="shared" si="2"/>
        <v>Resuelto</v>
      </c>
    </row>
    <row r="47" spans="1:38" ht="247.5" customHeight="1" x14ac:dyDescent="0.2">
      <c r="A47" s="8" t="s">
        <v>747</v>
      </c>
      <c r="B47" s="9">
        <v>8003</v>
      </c>
      <c r="C47" s="9" t="s">
        <v>753</v>
      </c>
      <c r="D47" s="10">
        <v>41809</v>
      </c>
      <c r="E47" s="9" t="s">
        <v>45</v>
      </c>
      <c r="F47" s="9" t="s">
        <v>530</v>
      </c>
      <c r="G47" s="9" t="s">
        <v>634</v>
      </c>
      <c r="H47" s="9" t="s">
        <v>18</v>
      </c>
      <c r="I47" s="9" t="s">
        <v>639</v>
      </c>
      <c r="J47" s="9">
        <v>71495315</v>
      </c>
      <c r="K47" s="9" t="s">
        <v>43</v>
      </c>
      <c r="L47" s="9" t="s">
        <v>640</v>
      </c>
      <c r="M47" s="9" t="s">
        <v>29</v>
      </c>
      <c r="N47" s="9" t="s">
        <v>23</v>
      </c>
      <c r="O47" s="9" t="s">
        <v>326</v>
      </c>
      <c r="P47" s="9"/>
      <c r="Q47" s="9" t="str">
        <f t="shared" si="1"/>
        <v>SI</v>
      </c>
      <c r="R47" s="8" t="s">
        <v>946</v>
      </c>
      <c r="S47" s="11"/>
      <c r="T47" s="11">
        <v>42069</v>
      </c>
      <c r="U47" s="11"/>
      <c r="V47" s="11" t="s">
        <v>785</v>
      </c>
      <c r="W47" s="8"/>
      <c r="X47" s="8"/>
      <c r="Y47" s="8"/>
      <c r="Z47" s="8"/>
      <c r="AA47" s="8"/>
      <c r="AB47" s="8"/>
      <c r="AC47" s="8" t="s">
        <v>919</v>
      </c>
      <c r="AD47" s="8"/>
      <c r="AE47" s="8"/>
      <c r="AF47" s="8"/>
      <c r="AG47" s="8"/>
      <c r="AH47" s="32" t="str">
        <f t="shared" si="2"/>
        <v>R</v>
      </c>
      <c r="AL47" s="33"/>
    </row>
    <row r="48" spans="1:38" ht="157.5" customHeight="1" x14ac:dyDescent="0.2">
      <c r="A48" s="8" t="s">
        <v>747</v>
      </c>
      <c r="B48" s="9">
        <v>8004</v>
      </c>
      <c r="C48" s="9" t="s">
        <v>753</v>
      </c>
      <c r="D48" s="10">
        <v>41810</v>
      </c>
      <c r="E48" s="9" t="s">
        <v>45</v>
      </c>
      <c r="F48" s="9" t="s">
        <v>398</v>
      </c>
      <c r="G48" s="9" t="s">
        <v>595</v>
      </c>
      <c r="H48" s="9" t="s">
        <v>18</v>
      </c>
      <c r="I48" s="9" t="s">
        <v>641</v>
      </c>
      <c r="J48" s="9">
        <v>60362743</v>
      </c>
      <c r="K48" s="9" t="s">
        <v>58</v>
      </c>
      <c r="L48" s="9" t="s">
        <v>642</v>
      </c>
      <c r="M48" s="9" t="s">
        <v>22</v>
      </c>
      <c r="N48" s="9" t="s">
        <v>23</v>
      </c>
      <c r="O48" s="9" t="s">
        <v>326</v>
      </c>
      <c r="P48" s="9"/>
      <c r="Q48" s="9" t="str">
        <f t="shared" si="1"/>
        <v>SI</v>
      </c>
      <c r="R48" s="8" t="s">
        <v>946</v>
      </c>
      <c r="S48" s="11"/>
      <c r="T48" s="11">
        <v>42080</v>
      </c>
      <c r="U48" s="11">
        <v>41876</v>
      </c>
      <c r="V48" s="11" t="s">
        <v>900</v>
      </c>
      <c r="W48" s="8"/>
      <c r="X48" s="8"/>
      <c r="Y48" s="8"/>
      <c r="Z48" s="8"/>
      <c r="AA48" s="8"/>
      <c r="AB48" s="8"/>
      <c r="AC48" s="8" t="s">
        <v>919</v>
      </c>
      <c r="AD48" s="8" t="s">
        <v>992</v>
      </c>
      <c r="AE48" s="8"/>
      <c r="AF48" s="8"/>
      <c r="AG48" s="8"/>
      <c r="AH48" s="32" t="str">
        <f t="shared" si="2"/>
        <v>V</v>
      </c>
      <c r="AL48" s="33"/>
    </row>
    <row r="49" spans="1:38" ht="281.25" customHeight="1" x14ac:dyDescent="0.2">
      <c r="A49" s="8" t="s">
        <v>747</v>
      </c>
      <c r="B49" s="9">
        <v>8005</v>
      </c>
      <c r="C49" s="9" t="s">
        <v>753</v>
      </c>
      <c r="D49" s="10">
        <v>41810</v>
      </c>
      <c r="E49" s="9" t="s">
        <v>45</v>
      </c>
      <c r="F49" s="9" t="s">
        <v>398</v>
      </c>
      <c r="G49" s="9" t="s">
        <v>643</v>
      </c>
      <c r="H49" s="9" t="s">
        <v>18</v>
      </c>
      <c r="I49" s="9" t="s">
        <v>641</v>
      </c>
      <c r="J49" s="9">
        <v>60362743</v>
      </c>
      <c r="K49" s="9" t="s">
        <v>43</v>
      </c>
      <c r="L49" s="9" t="s">
        <v>644</v>
      </c>
      <c r="M49" s="9" t="s">
        <v>29</v>
      </c>
      <c r="N49" s="9" t="s">
        <v>23</v>
      </c>
      <c r="O49" s="9" t="s">
        <v>320</v>
      </c>
      <c r="P49" s="9"/>
      <c r="Q49" s="9" t="str">
        <f t="shared" si="1"/>
        <v>SI</v>
      </c>
      <c r="R49" s="8"/>
      <c r="S49" s="11"/>
      <c r="T49" s="11"/>
      <c r="U49" s="11"/>
      <c r="V49" s="11" t="s">
        <v>786</v>
      </c>
      <c r="W49" s="8"/>
      <c r="X49" s="8"/>
      <c r="Y49" s="8"/>
      <c r="Z49" s="8"/>
      <c r="AA49" s="8"/>
      <c r="AB49" s="8"/>
      <c r="AC49" s="8"/>
      <c r="AD49" s="8"/>
      <c r="AE49" s="8"/>
      <c r="AF49" s="8"/>
      <c r="AG49" s="8"/>
      <c r="AH49" s="32" t="str">
        <f t="shared" si="2"/>
        <v>Resuelto</v>
      </c>
    </row>
    <row r="50" spans="1:38" ht="281.25" customHeight="1" x14ac:dyDescent="0.2">
      <c r="A50" s="8" t="s">
        <v>747</v>
      </c>
      <c r="B50" s="9">
        <v>8006</v>
      </c>
      <c r="C50" s="9" t="s">
        <v>753</v>
      </c>
      <c r="D50" s="10">
        <v>41810</v>
      </c>
      <c r="E50" s="9" t="s">
        <v>45</v>
      </c>
      <c r="F50" s="9" t="s">
        <v>398</v>
      </c>
      <c r="G50" s="9" t="s">
        <v>595</v>
      </c>
      <c r="H50" s="9" t="s">
        <v>18</v>
      </c>
      <c r="I50" s="9" t="s">
        <v>641</v>
      </c>
      <c r="J50" s="9">
        <v>60362743</v>
      </c>
      <c r="K50" s="9" t="s">
        <v>43</v>
      </c>
      <c r="L50" s="9" t="s">
        <v>645</v>
      </c>
      <c r="M50" s="9" t="s">
        <v>29</v>
      </c>
      <c r="N50" s="9" t="s">
        <v>23</v>
      </c>
      <c r="O50" s="9" t="s">
        <v>326</v>
      </c>
      <c r="P50" s="9"/>
      <c r="Q50" s="9" t="str">
        <f t="shared" si="1"/>
        <v>SI</v>
      </c>
      <c r="R50" s="8" t="s">
        <v>946</v>
      </c>
      <c r="S50" s="11"/>
      <c r="T50" s="11">
        <v>42069</v>
      </c>
      <c r="U50" s="11">
        <v>41876</v>
      </c>
      <c r="V50" s="11" t="s">
        <v>787</v>
      </c>
      <c r="W50" s="8"/>
      <c r="X50" s="8"/>
      <c r="Y50" s="8"/>
      <c r="Z50" s="8"/>
      <c r="AA50" s="8"/>
      <c r="AB50" s="8"/>
      <c r="AC50" s="8" t="s">
        <v>919</v>
      </c>
      <c r="AD50" s="8"/>
      <c r="AE50" s="8"/>
      <c r="AF50" s="8"/>
      <c r="AG50" s="8"/>
      <c r="AH50" s="32" t="str">
        <f t="shared" si="2"/>
        <v>R</v>
      </c>
      <c r="AL50" s="33"/>
    </row>
    <row r="51" spans="1:38" ht="168.75" customHeight="1" x14ac:dyDescent="0.2">
      <c r="A51" s="8" t="s">
        <v>747</v>
      </c>
      <c r="B51" s="9">
        <v>8007</v>
      </c>
      <c r="C51" s="9" t="s">
        <v>753</v>
      </c>
      <c r="D51" s="10">
        <v>41814</v>
      </c>
      <c r="E51" s="9" t="s">
        <v>45</v>
      </c>
      <c r="F51" s="9" t="s">
        <v>398</v>
      </c>
      <c r="G51" s="9" t="s">
        <v>395</v>
      </c>
      <c r="H51" s="9" t="s">
        <v>18</v>
      </c>
      <c r="I51" s="9" t="s">
        <v>641</v>
      </c>
      <c r="J51" s="9">
        <v>60362743</v>
      </c>
      <c r="K51" s="9" t="s">
        <v>58</v>
      </c>
      <c r="L51" s="9" t="s">
        <v>646</v>
      </c>
      <c r="M51" s="9" t="s">
        <v>22</v>
      </c>
      <c r="N51" s="9" t="s">
        <v>23</v>
      </c>
      <c r="O51" s="9" t="s">
        <v>326</v>
      </c>
      <c r="P51" s="9"/>
      <c r="Q51" s="9" t="str">
        <f t="shared" si="1"/>
        <v>SI</v>
      </c>
      <c r="R51" s="8" t="s">
        <v>946</v>
      </c>
      <c r="S51" s="11"/>
      <c r="T51" s="11">
        <v>42080</v>
      </c>
      <c r="U51" s="11">
        <v>42051</v>
      </c>
      <c r="V51" s="11" t="s">
        <v>899</v>
      </c>
      <c r="W51" s="8"/>
      <c r="X51" s="8"/>
      <c r="Y51" s="8"/>
      <c r="Z51" s="8"/>
      <c r="AA51" s="8"/>
      <c r="AB51" s="8"/>
      <c r="AC51" s="8" t="s">
        <v>919</v>
      </c>
      <c r="AD51" s="8" t="s">
        <v>991</v>
      </c>
      <c r="AE51" s="8"/>
      <c r="AF51" s="8"/>
      <c r="AG51" s="8"/>
      <c r="AH51" s="32" t="str">
        <f t="shared" si="2"/>
        <v>V</v>
      </c>
      <c r="AL51" s="33"/>
    </row>
    <row r="52" spans="1:38" ht="202.5" customHeight="1" x14ac:dyDescent="0.2">
      <c r="A52" s="8" t="s">
        <v>747</v>
      </c>
      <c r="B52" s="9">
        <v>8008</v>
      </c>
      <c r="C52" s="9" t="s">
        <v>753</v>
      </c>
      <c r="D52" s="10">
        <v>41815</v>
      </c>
      <c r="E52" s="9" t="s">
        <v>45</v>
      </c>
      <c r="F52" s="9" t="s">
        <v>394</v>
      </c>
      <c r="G52" s="9" t="s">
        <v>595</v>
      </c>
      <c r="H52" s="9" t="s">
        <v>18</v>
      </c>
      <c r="I52" s="9" t="s">
        <v>647</v>
      </c>
      <c r="J52" s="9">
        <v>22174500</v>
      </c>
      <c r="K52" s="9" t="s">
        <v>574</v>
      </c>
      <c r="L52" s="9" t="s">
        <v>648</v>
      </c>
      <c r="M52" s="9" t="s">
        <v>29</v>
      </c>
      <c r="N52" s="9" t="s">
        <v>23</v>
      </c>
      <c r="O52" s="9" t="s">
        <v>320</v>
      </c>
      <c r="P52" s="9"/>
      <c r="Q52" s="9" t="str">
        <f t="shared" si="1"/>
        <v>SI</v>
      </c>
      <c r="R52" s="8"/>
      <c r="S52" s="11"/>
      <c r="T52" s="11"/>
      <c r="U52" s="11"/>
      <c r="V52" s="11" t="s">
        <v>788</v>
      </c>
      <c r="W52" s="8"/>
      <c r="X52" s="8"/>
      <c r="Y52" s="8"/>
      <c r="Z52" s="8"/>
      <c r="AA52" s="8"/>
      <c r="AB52" s="8"/>
      <c r="AC52" s="8"/>
      <c r="AD52" s="8"/>
      <c r="AE52" s="8"/>
      <c r="AF52" s="8"/>
      <c r="AG52" s="8"/>
      <c r="AH52" s="32" t="str">
        <f t="shared" si="2"/>
        <v>Resuelto</v>
      </c>
    </row>
    <row r="53" spans="1:38" ht="157.5" customHeight="1" x14ac:dyDescent="0.2">
      <c r="A53" s="8" t="s">
        <v>747</v>
      </c>
      <c r="B53" s="9">
        <v>8009</v>
      </c>
      <c r="C53" s="9" t="s">
        <v>753</v>
      </c>
      <c r="D53" s="10">
        <v>41810</v>
      </c>
      <c r="E53" s="9" t="s">
        <v>45</v>
      </c>
      <c r="F53" s="9" t="s">
        <v>530</v>
      </c>
      <c r="G53" s="9" t="s">
        <v>634</v>
      </c>
      <c r="H53" s="9" t="s">
        <v>18</v>
      </c>
      <c r="I53" s="9" t="s">
        <v>649</v>
      </c>
      <c r="J53" s="9">
        <v>37397149</v>
      </c>
      <c r="K53" s="9" t="s">
        <v>43</v>
      </c>
      <c r="L53" s="9" t="s">
        <v>650</v>
      </c>
      <c r="M53" s="9" t="s">
        <v>29</v>
      </c>
      <c r="N53" s="9" t="s">
        <v>23</v>
      </c>
      <c r="O53" s="9" t="s">
        <v>326</v>
      </c>
      <c r="P53" s="9"/>
      <c r="Q53" s="9" t="str">
        <f t="shared" si="1"/>
        <v>SI</v>
      </c>
      <c r="R53" s="8" t="s">
        <v>946</v>
      </c>
      <c r="S53" s="11"/>
      <c r="T53" s="11">
        <v>42080</v>
      </c>
      <c r="U53" s="11"/>
      <c r="V53" s="11" t="s">
        <v>841</v>
      </c>
      <c r="W53" s="8"/>
      <c r="X53" s="8"/>
      <c r="Y53" s="8"/>
      <c r="Z53" s="8"/>
      <c r="AA53" s="8"/>
      <c r="AB53" s="8"/>
      <c r="AC53" s="8" t="s">
        <v>919</v>
      </c>
      <c r="AD53" s="8" t="s">
        <v>986</v>
      </c>
      <c r="AE53" s="8"/>
      <c r="AF53" s="8"/>
      <c r="AG53" s="8"/>
      <c r="AH53" s="32" t="str">
        <f t="shared" si="2"/>
        <v>V</v>
      </c>
      <c r="AL53" s="33"/>
    </row>
    <row r="54" spans="1:38" ht="360" customHeight="1" x14ac:dyDescent="0.2">
      <c r="A54" s="8" t="s">
        <v>747</v>
      </c>
      <c r="B54" s="9">
        <v>8010</v>
      </c>
      <c r="C54" s="9" t="s">
        <v>753</v>
      </c>
      <c r="D54" s="10">
        <v>41842</v>
      </c>
      <c r="E54" s="9" t="s">
        <v>45</v>
      </c>
      <c r="F54" s="9" t="s">
        <v>531</v>
      </c>
      <c r="G54" s="9" t="s">
        <v>631</v>
      </c>
      <c r="H54" s="9" t="s">
        <v>18</v>
      </c>
      <c r="I54" s="9" t="s">
        <v>651</v>
      </c>
      <c r="J54" s="9">
        <v>43081875</v>
      </c>
      <c r="K54" s="9" t="s">
        <v>43</v>
      </c>
      <c r="L54" s="9" t="s">
        <v>652</v>
      </c>
      <c r="M54" s="9" t="s">
        <v>29</v>
      </c>
      <c r="N54" s="9" t="s">
        <v>23</v>
      </c>
      <c r="O54" s="9" t="s">
        <v>320</v>
      </c>
      <c r="P54" s="9"/>
      <c r="Q54" s="9" t="str">
        <f t="shared" si="1"/>
        <v>SI</v>
      </c>
      <c r="R54" s="8"/>
      <c r="S54" s="11"/>
      <c r="T54" s="11"/>
      <c r="U54" s="11"/>
      <c r="V54" s="11" t="s">
        <v>789</v>
      </c>
      <c r="W54" s="8"/>
      <c r="X54" s="8"/>
      <c r="Y54" s="8"/>
      <c r="Z54" s="8"/>
      <c r="AA54" s="8"/>
      <c r="AB54" s="8"/>
      <c r="AC54" s="8"/>
      <c r="AD54" s="8"/>
      <c r="AE54" s="8"/>
      <c r="AF54" s="8"/>
      <c r="AG54" s="8"/>
      <c r="AH54" s="32" t="str">
        <f t="shared" si="2"/>
        <v>Resuelto</v>
      </c>
    </row>
    <row r="55" spans="1:38" ht="258.75" customHeight="1" x14ac:dyDescent="0.2">
      <c r="A55" s="8" t="s">
        <v>747</v>
      </c>
      <c r="B55" s="9">
        <v>8011</v>
      </c>
      <c r="C55" s="9" t="s">
        <v>753</v>
      </c>
      <c r="D55" s="10">
        <v>41842</v>
      </c>
      <c r="E55" s="9" t="s">
        <v>45</v>
      </c>
      <c r="F55" s="9" t="s">
        <v>531</v>
      </c>
      <c r="G55" s="9" t="s">
        <v>631</v>
      </c>
      <c r="H55" s="9" t="s">
        <v>18</v>
      </c>
      <c r="I55" s="9" t="s">
        <v>653</v>
      </c>
      <c r="J55" s="9">
        <v>8011</v>
      </c>
      <c r="K55" s="9" t="s">
        <v>43</v>
      </c>
      <c r="L55" s="9" t="s">
        <v>654</v>
      </c>
      <c r="M55" s="9" t="s">
        <v>29</v>
      </c>
      <c r="N55" s="9" t="s">
        <v>23</v>
      </c>
      <c r="O55" s="9" t="s">
        <v>326</v>
      </c>
      <c r="P55" s="9"/>
      <c r="Q55" s="9" t="str">
        <f t="shared" si="1"/>
        <v>SI</v>
      </c>
      <c r="R55" s="8" t="s">
        <v>946</v>
      </c>
      <c r="S55" s="11"/>
      <c r="T55" s="11">
        <v>42069</v>
      </c>
      <c r="U55" s="11"/>
      <c r="V55" s="11" t="s">
        <v>842</v>
      </c>
      <c r="W55" s="8"/>
      <c r="X55" s="8"/>
      <c r="Y55" s="8"/>
      <c r="Z55" s="8"/>
      <c r="AA55" s="8"/>
      <c r="AB55" s="8"/>
      <c r="AC55" s="8" t="s">
        <v>919</v>
      </c>
      <c r="AD55" s="8"/>
      <c r="AE55" s="8"/>
      <c r="AF55" s="8"/>
      <c r="AG55" s="8"/>
      <c r="AH55" s="32" t="str">
        <f t="shared" si="2"/>
        <v>R</v>
      </c>
      <c r="AL55" s="33"/>
    </row>
    <row r="56" spans="1:38" ht="112.5" customHeight="1" x14ac:dyDescent="0.2">
      <c r="A56" s="8" t="s">
        <v>747</v>
      </c>
      <c r="B56" s="9">
        <v>8012</v>
      </c>
      <c r="C56" s="9" t="s">
        <v>753</v>
      </c>
      <c r="D56" s="10">
        <v>41845</v>
      </c>
      <c r="E56" s="9" t="s">
        <v>45</v>
      </c>
      <c r="F56" s="9" t="s">
        <v>531</v>
      </c>
      <c r="G56" s="9" t="s">
        <v>94</v>
      </c>
      <c r="H56" s="9" t="s">
        <v>18</v>
      </c>
      <c r="I56" s="9" t="s">
        <v>655</v>
      </c>
      <c r="J56" s="9">
        <v>15529518</v>
      </c>
      <c r="K56" s="9" t="s">
        <v>43</v>
      </c>
      <c r="L56" s="9" t="s">
        <v>656</v>
      </c>
      <c r="M56" s="9" t="s">
        <v>22</v>
      </c>
      <c r="N56" s="9" t="s">
        <v>23</v>
      </c>
      <c r="O56" s="9" t="s">
        <v>326</v>
      </c>
      <c r="P56" s="9"/>
      <c r="Q56" s="9" t="str">
        <f t="shared" si="1"/>
        <v>SI</v>
      </c>
      <c r="R56" s="8" t="s">
        <v>946</v>
      </c>
      <c r="S56" s="11"/>
      <c r="T56" s="11">
        <v>42069</v>
      </c>
      <c r="U56" s="11"/>
      <c r="V56" s="11" t="s">
        <v>843</v>
      </c>
      <c r="W56" s="8"/>
      <c r="X56" s="8"/>
      <c r="Y56" s="8"/>
      <c r="Z56" s="8"/>
      <c r="AA56" s="8"/>
      <c r="AB56" s="8"/>
      <c r="AC56" s="8" t="s">
        <v>919</v>
      </c>
      <c r="AD56" s="8"/>
      <c r="AE56" s="8"/>
      <c r="AF56" s="8"/>
      <c r="AG56" s="8"/>
      <c r="AH56" s="32" t="str">
        <f t="shared" si="2"/>
        <v>R</v>
      </c>
      <c r="AL56" s="33"/>
    </row>
    <row r="57" spans="1:38" ht="123.75" customHeight="1" x14ac:dyDescent="0.2">
      <c r="A57" s="8" t="s">
        <v>747</v>
      </c>
      <c r="B57" s="9">
        <v>8013</v>
      </c>
      <c r="C57" s="9" t="s">
        <v>753</v>
      </c>
      <c r="D57" s="10">
        <v>41844</v>
      </c>
      <c r="E57" s="9" t="s">
        <v>45</v>
      </c>
      <c r="F57" s="9" t="s">
        <v>95</v>
      </c>
      <c r="G57" s="9" t="s">
        <v>631</v>
      </c>
      <c r="H57" s="9" t="s">
        <v>18</v>
      </c>
      <c r="I57" s="9" t="s">
        <v>657</v>
      </c>
      <c r="J57" s="9">
        <v>98558166</v>
      </c>
      <c r="K57" s="9" t="s">
        <v>43</v>
      </c>
      <c r="L57" s="9" t="s">
        <v>658</v>
      </c>
      <c r="M57" s="9" t="s">
        <v>22</v>
      </c>
      <c r="N57" s="9" t="s">
        <v>23</v>
      </c>
      <c r="O57" s="9" t="s">
        <v>326</v>
      </c>
      <c r="P57" s="9"/>
      <c r="Q57" s="9" t="str">
        <f t="shared" si="1"/>
        <v>SI</v>
      </c>
      <c r="R57" s="8" t="s">
        <v>946</v>
      </c>
      <c r="S57" s="11"/>
      <c r="T57" s="11">
        <v>42069</v>
      </c>
      <c r="U57" s="11"/>
      <c r="V57" s="11" t="s">
        <v>844</v>
      </c>
      <c r="W57" s="8"/>
      <c r="X57" s="8"/>
      <c r="Y57" s="8"/>
      <c r="Z57" s="8"/>
      <c r="AA57" s="8"/>
      <c r="AB57" s="8"/>
      <c r="AC57" s="8" t="s">
        <v>919</v>
      </c>
      <c r="AD57" s="8"/>
      <c r="AE57" s="8"/>
      <c r="AF57" s="8"/>
      <c r="AG57" s="8"/>
      <c r="AH57" s="32" t="str">
        <f t="shared" si="2"/>
        <v>R</v>
      </c>
      <c r="AL57" s="33"/>
    </row>
    <row r="58" spans="1:38" ht="315" customHeight="1" x14ac:dyDescent="0.2">
      <c r="A58" s="8" t="s">
        <v>747</v>
      </c>
      <c r="B58" s="9">
        <v>8014</v>
      </c>
      <c r="C58" s="9" t="s">
        <v>753</v>
      </c>
      <c r="D58" s="10">
        <v>41844</v>
      </c>
      <c r="E58" s="9" t="s">
        <v>45</v>
      </c>
      <c r="F58" s="9" t="s">
        <v>95</v>
      </c>
      <c r="G58" s="9" t="s">
        <v>631</v>
      </c>
      <c r="H58" s="9" t="s">
        <v>18</v>
      </c>
      <c r="I58" s="9" t="s">
        <v>659</v>
      </c>
      <c r="J58" s="9">
        <v>43913877</v>
      </c>
      <c r="K58" s="9" t="s">
        <v>43</v>
      </c>
      <c r="L58" s="9" t="s">
        <v>660</v>
      </c>
      <c r="M58" s="9" t="s">
        <v>29</v>
      </c>
      <c r="N58" s="9" t="s">
        <v>23</v>
      </c>
      <c r="O58" s="9" t="s">
        <v>320</v>
      </c>
      <c r="P58" s="9"/>
      <c r="Q58" s="9" t="str">
        <f t="shared" si="1"/>
        <v>SI</v>
      </c>
      <c r="R58" s="8"/>
      <c r="S58" s="11"/>
      <c r="T58" s="11"/>
      <c r="U58" s="11"/>
      <c r="V58" s="11" t="s">
        <v>790</v>
      </c>
      <c r="W58" s="8"/>
      <c r="X58" s="8"/>
      <c r="Y58" s="8"/>
      <c r="Z58" s="8"/>
      <c r="AA58" s="8"/>
      <c r="AB58" s="8"/>
      <c r="AC58" s="8"/>
      <c r="AD58" s="8"/>
      <c r="AE58" s="8"/>
      <c r="AF58" s="8"/>
      <c r="AG58" s="8"/>
      <c r="AH58" s="32" t="str">
        <f t="shared" si="2"/>
        <v>Resuelto</v>
      </c>
    </row>
    <row r="59" spans="1:38" ht="168.75" customHeight="1" x14ac:dyDescent="0.2">
      <c r="A59" s="8" t="s">
        <v>747</v>
      </c>
      <c r="B59" s="9">
        <v>8015</v>
      </c>
      <c r="C59" s="9" t="s">
        <v>753</v>
      </c>
      <c r="D59" s="10">
        <v>41844</v>
      </c>
      <c r="E59" s="9" t="s">
        <v>45</v>
      </c>
      <c r="F59" s="9" t="s">
        <v>95</v>
      </c>
      <c r="G59" s="9" t="s">
        <v>631</v>
      </c>
      <c r="H59" s="9" t="s">
        <v>18</v>
      </c>
      <c r="I59" s="9" t="s">
        <v>659</v>
      </c>
      <c r="J59" s="9">
        <v>43913877</v>
      </c>
      <c r="K59" s="9" t="s">
        <v>43</v>
      </c>
      <c r="L59" s="9" t="s">
        <v>661</v>
      </c>
      <c r="M59" s="9" t="s">
        <v>88</v>
      </c>
      <c r="N59" s="9" t="s">
        <v>23</v>
      </c>
      <c r="O59" s="9" t="s">
        <v>326</v>
      </c>
      <c r="P59" s="9"/>
      <c r="Q59" s="9" t="str">
        <f t="shared" si="1"/>
        <v>SI</v>
      </c>
      <c r="R59" s="8" t="s">
        <v>946</v>
      </c>
      <c r="S59" s="11"/>
      <c r="T59" s="11">
        <v>42069</v>
      </c>
      <c r="U59" s="11"/>
      <c r="V59" s="11" t="s">
        <v>845</v>
      </c>
      <c r="W59" s="8"/>
      <c r="X59" s="8"/>
      <c r="Y59" s="8"/>
      <c r="Z59" s="8"/>
      <c r="AA59" s="8"/>
      <c r="AB59" s="8"/>
      <c r="AC59" s="8" t="s">
        <v>919</v>
      </c>
      <c r="AD59" s="8"/>
      <c r="AE59" s="8"/>
      <c r="AF59" s="8"/>
      <c r="AG59" s="8"/>
      <c r="AH59" s="32" t="str">
        <f t="shared" si="2"/>
        <v>R</v>
      </c>
      <c r="AL59" s="33"/>
    </row>
    <row r="60" spans="1:38" ht="123.75" customHeight="1" x14ac:dyDescent="0.2">
      <c r="A60" s="8" t="s">
        <v>747</v>
      </c>
      <c r="B60" s="9">
        <v>8016</v>
      </c>
      <c r="C60" s="9" t="s">
        <v>753</v>
      </c>
      <c r="D60" s="10">
        <v>41863</v>
      </c>
      <c r="E60" s="9" t="s">
        <v>45</v>
      </c>
      <c r="F60" s="9" t="s">
        <v>411</v>
      </c>
      <c r="G60" s="9" t="s">
        <v>486</v>
      </c>
      <c r="H60" s="9" t="s">
        <v>18</v>
      </c>
      <c r="I60" s="9" t="s">
        <v>662</v>
      </c>
      <c r="J60" s="9">
        <v>98489511</v>
      </c>
      <c r="K60" s="9" t="s">
        <v>43</v>
      </c>
      <c r="L60" s="9" t="s">
        <v>663</v>
      </c>
      <c r="M60" s="9" t="s">
        <v>29</v>
      </c>
      <c r="N60" s="9" t="s">
        <v>23</v>
      </c>
      <c r="O60" s="9" t="s">
        <v>326</v>
      </c>
      <c r="P60" s="9"/>
      <c r="Q60" s="9" t="str">
        <f t="shared" si="1"/>
        <v>SI</v>
      </c>
      <c r="R60" s="8" t="s">
        <v>946</v>
      </c>
      <c r="S60" s="11"/>
      <c r="T60" s="11">
        <v>42080</v>
      </c>
      <c r="U60" s="11">
        <v>42055</v>
      </c>
      <c r="V60" s="11" t="s">
        <v>898</v>
      </c>
      <c r="W60" s="8"/>
      <c r="X60" s="8"/>
      <c r="Y60" s="8"/>
      <c r="Z60" s="8"/>
      <c r="AA60" s="8"/>
      <c r="AB60" s="8"/>
      <c r="AC60" s="8" t="s">
        <v>919</v>
      </c>
      <c r="AD60" s="8" t="s">
        <v>990</v>
      </c>
      <c r="AE60" s="8"/>
      <c r="AF60" s="8"/>
      <c r="AG60" s="8"/>
      <c r="AH60" s="32" t="str">
        <f t="shared" si="2"/>
        <v>V</v>
      </c>
      <c r="AL60" s="33"/>
    </row>
    <row r="61" spans="1:38" ht="78.75" customHeight="1" x14ac:dyDescent="0.2">
      <c r="A61" s="8" t="s">
        <v>747</v>
      </c>
      <c r="B61" s="9">
        <v>8017</v>
      </c>
      <c r="C61" s="9" t="s">
        <v>753</v>
      </c>
      <c r="D61" s="10">
        <v>41864</v>
      </c>
      <c r="E61" s="9" t="s">
        <v>45</v>
      </c>
      <c r="F61" s="9" t="s">
        <v>531</v>
      </c>
      <c r="G61" s="9" t="s">
        <v>664</v>
      </c>
      <c r="H61" s="9" t="s">
        <v>18</v>
      </c>
      <c r="I61" s="9" t="s">
        <v>665</v>
      </c>
      <c r="J61" s="9">
        <v>15523021</v>
      </c>
      <c r="K61" s="9" t="s">
        <v>43</v>
      </c>
      <c r="L61" s="9" t="s">
        <v>666</v>
      </c>
      <c r="M61" s="9" t="s">
        <v>22</v>
      </c>
      <c r="N61" s="9" t="s">
        <v>23</v>
      </c>
      <c r="O61" s="9" t="s">
        <v>326</v>
      </c>
      <c r="P61" s="9"/>
      <c r="Q61" s="9" t="str">
        <f t="shared" si="1"/>
        <v>SI</v>
      </c>
      <c r="R61" s="8" t="s">
        <v>946</v>
      </c>
      <c r="S61" s="11"/>
      <c r="T61" s="11">
        <v>42080</v>
      </c>
      <c r="U61" s="11"/>
      <c r="V61" s="11" t="s">
        <v>846</v>
      </c>
      <c r="W61" s="8"/>
      <c r="X61" s="8"/>
      <c r="Y61" s="8"/>
      <c r="Z61" s="8"/>
      <c r="AA61" s="8"/>
      <c r="AB61" s="8"/>
      <c r="AC61" s="8" t="s">
        <v>919</v>
      </c>
      <c r="AD61" s="8" t="s">
        <v>984</v>
      </c>
      <c r="AE61" s="8"/>
      <c r="AF61" s="8"/>
      <c r="AG61" s="8"/>
      <c r="AH61" s="32" t="str">
        <f t="shared" si="2"/>
        <v>V</v>
      </c>
      <c r="AL61" s="33"/>
    </row>
    <row r="62" spans="1:38" ht="225" customHeight="1" x14ac:dyDescent="0.2">
      <c r="A62" s="8" t="s">
        <v>747</v>
      </c>
      <c r="B62" s="9">
        <v>8018</v>
      </c>
      <c r="C62" s="9" t="s">
        <v>753</v>
      </c>
      <c r="D62" s="10">
        <v>41865</v>
      </c>
      <c r="E62" s="9" t="s">
        <v>45</v>
      </c>
      <c r="F62" s="9" t="s">
        <v>95</v>
      </c>
      <c r="G62" s="9" t="s">
        <v>631</v>
      </c>
      <c r="H62" s="9" t="s">
        <v>18</v>
      </c>
      <c r="I62" s="9" t="s">
        <v>667</v>
      </c>
      <c r="J62" s="9">
        <v>43280804</v>
      </c>
      <c r="K62" s="9" t="s">
        <v>20</v>
      </c>
      <c r="L62" s="9" t="s">
        <v>668</v>
      </c>
      <c r="M62" s="9" t="s">
        <v>22</v>
      </c>
      <c r="N62" s="9" t="s">
        <v>23</v>
      </c>
      <c r="O62" s="9" t="s">
        <v>320</v>
      </c>
      <c r="P62" s="9"/>
      <c r="Q62" s="9" t="str">
        <f t="shared" si="1"/>
        <v>SI</v>
      </c>
      <c r="R62" s="8"/>
      <c r="S62" s="11"/>
      <c r="T62" s="11"/>
      <c r="U62" s="11"/>
      <c r="V62" s="11" t="s">
        <v>791</v>
      </c>
      <c r="W62" s="8"/>
      <c r="X62" s="8"/>
      <c r="Y62" s="8"/>
      <c r="Z62" s="8"/>
      <c r="AA62" s="8"/>
      <c r="AB62" s="8"/>
      <c r="AC62" s="8"/>
      <c r="AD62" s="8"/>
      <c r="AE62" s="8"/>
      <c r="AF62" s="8"/>
      <c r="AG62" s="8"/>
      <c r="AH62" s="32" t="str">
        <f t="shared" si="2"/>
        <v>Resuelto</v>
      </c>
    </row>
    <row r="63" spans="1:38" ht="123.75" customHeight="1" x14ac:dyDescent="0.2">
      <c r="A63" s="8" t="s">
        <v>747</v>
      </c>
      <c r="B63" s="9">
        <v>8019</v>
      </c>
      <c r="C63" s="9" t="s">
        <v>753</v>
      </c>
      <c r="D63" s="10">
        <v>41872</v>
      </c>
      <c r="E63" s="9" t="s">
        <v>45</v>
      </c>
      <c r="F63" s="9" t="s">
        <v>529</v>
      </c>
      <c r="G63" s="9" t="s">
        <v>631</v>
      </c>
      <c r="H63" s="9" t="s">
        <v>18</v>
      </c>
      <c r="I63" s="9" t="s">
        <v>669</v>
      </c>
      <c r="J63" s="9">
        <v>39455829</v>
      </c>
      <c r="K63" s="9" t="s">
        <v>43</v>
      </c>
      <c r="L63" s="9" t="s">
        <v>670</v>
      </c>
      <c r="M63" s="9" t="s">
        <v>29</v>
      </c>
      <c r="N63" s="9" t="s">
        <v>23</v>
      </c>
      <c r="O63" s="9" t="s">
        <v>326</v>
      </c>
      <c r="P63" s="9"/>
      <c r="Q63" s="9" t="str">
        <f t="shared" si="1"/>
        <v>SI</v>
      </c>
      <c r="R63" s="8" t="s">
        <v>946</v>
      </c>
      <c r="S63" s="11"/>
      <c r="T63" s="11">
        <v>42069</v>
      </c>
      <c r="U63" s="11">
        <v>42051</v>
      </c>
      <c r="V63" s="11" t="s">
        <v>897</v>
      </c>
      <c r="W63" s="8"/>
      <c r="X63" s="8"/>
      <c r="Y63" s="8"/>
      <c r="Z63" s="8"/>
      <c r="AA63" s="8"/>
      <c r="AB63" s="8"/>
      <c r="AC63" s="8" t="s">
        <v>919</v>
      </c>
      <c r="AD63" s="8"/>
      <c r="AE63" s="8"/>
      <c r="AF63" s="8"/>
      <c r="AG63" s="8"/>
      <c r="AH63" s="32" t="str">
        <f t="shared" si="2"/>
        <v>R</v>
      </c>
      <c r="AL63" s="33"/>
    </row>
    <row r="64" spans="1:38" ht="225" customHeight="1" x14ac:dyDescent="0.2">
      <c r="A64" s="8" t="s">
        <v>747</v>
      </c>
      <c r="B64" s="9">
        <v>8020</v>
      </c>
      <c r="C64" s="9" t="s">
        <v>753</v>
      </c>
      <c r="D64" s="10">
        <v>41872</v>
      </c>
      <c r="E64" s="9" t="s">
        <v>45</v>
      </c>
      <c r="F64" s="9" t="s">
        <v>529</v>
      </c>
      <c r="G64" s="9" t="s">
        <v>631</v>
      </c>
      <c r="H64" s="9" t="s">
        <v>18</v>
      </c>
      <c r="I64" s="9" t="s">
        <v>669</v>
      </c>
      <c r="J64" s="9">
        <v>39455829</v>
      </c>
      <c r="K64" s="9" t="s">
        <v>20</v>
      </c>
      <c r="L64" s="9" t="s">
        <v>671</v>
      </c>
      <c r="M64" s="9" t="s">
        <v>22</v>
      </c>
      <c r="N64" s="9" t="s">
        <v>23</v>
      </c>
      <c r="O64" s="9" t="s">
        <v>320</v>
      </c>
      <c r="P64" s="9"/>
      <c r="Q64" s="9" t="str">
        <f t="shared" si="1"/>
        <v>SI</v>
      </c>
      <c r="R64" s="8"/>
      <c r="S64" s="11"/>
      <c r="T64" s="11"/>
      <c r="U64" s="11"/>
      <c r="V64" s="11" t="s">
        <v>792</v>
      </c>
      <c r="W64" s="8"/>
      <c r="X64" s="8"/>
      <c r="Y64" s="8"/>
      <c r="Z64" s="8"/>
      <c r="AA64" s="8"/>
      <c r="AB64" s="8"/>
      <c r="AC64" s="8"/>
      <c r="AD64" s="8"/>
      <c r="AE64" s="8"/>
      <c r="AF64" s="8"/>
      <c r="AG64" s="8"/>
      <c r="AH64" s="32" t="str">
        <f t="shared" si="2"/>
        <v>Resuelto</v>
      </c>
    </row>
    <row r="65" spans="1:34" ht="101.25" customHeight="1" x14ac:dyDescent="0.2">
      <c r="A65" s="8" t="s">
        <v>747</v>
      </c>
      <c r="B65" s="9">
        <v>9000</v>
      </c>
      <c r="C65" s="9" t="s">
        <v>754</v>
      </c>
      <c r="D65" s="10">
        <v>41830</v>
      </c>
      <c r="E65" s="9" t="s">
        <v>96</v>
      </c>
      <c r="F65" s="9" t="s">
        <v>222</v>
      </c>
      <c r="G65" s="9" t="s">
        <v>310</v>
      </c>
      <c r="H65" s="9" t="s">
        <v>18</v>
      </c>
      <c r="I65" s="9" t="s">
        <v>223</v>
      </c>
      <c r="J65" s="9">
        <v>79880044</v>
      </c>
      <c r="K65" s="9" t="s">
        <v>43</v>
      </c>
      <c r="L65" s="9" t="s">
        <v>672</v>
      </c>
      <c r="M65" s="9" t="s">
        <v>22</v>
      </c>
      <c r="N65" s="9" t="s">
        <v>673</v>
      </c>
      <c r="O65" s="9" t="s">
        <v>320</v>
      </c>
      <c r="P65" s="9"/>
      <c r="Q65" s="9" t="str">
        <f t="shared" si="1"/>
        <v>SI</v>
      </c>
      <c r="R65" s="8"/>
      <c r="S65" s="11"/>
      <c r="T65" s="11">
        <v>41888</v>
      </c>
      <c r="U65" s="11">
        <v>41888</v>
      </c>
      <c r="V65" s="11" t="s">
        <v>870</v>
      </c>
      <c r="W65" s="8"/>
      <c r="X65" s="8"/>
      <c r="Y65" s="8"/>
      <c r="Z65" s="8"/>
      <c r="AA65" s="8"/>
      <c r="AB65" s="8" t="s">
        <v>872</v>
      </c>
      <c r="AC65" s="8"/>
      <c r="AD65" s="8"/>
      <c r="AE65" s="8"/>
      <c r="AF65" s="8"/>
      <c r="AG65" s="8"/>
      <c r="AH65" s="32" t="str">
        <f t="shared" si="2"/>
        <v>Resuelto</v>
      </c>
    </row>
    <row r="66" spans="1:34" ht="118.5" customHeight="1" x14ac:dyDescent="0.2">
      <c r="A66" s="8" t="s">
        <v>747</v>
      </c>
      <c r="B66" s="9">
        <v>9002</v>
      </c>
      <c r="C66" s="9" t="s">
        <v>754</v>
      </c>
      <c r="D66" s="10">
        <v>41834</v>
      </c>
      <c r="E66" s="9" t="s">
        <v>96</v>
      </c>
      <c r="F66" s="9" t="s">
        <v>532</v>
      </c>
      <c r="G66" s="9" t="s">
        <v>23</v>
      </c>
      <c r="H66" s="9" t="s">
        <v>65</v>
      </c>
      <c r="I66" s="9" t="s">
        <v>674</v>
      </c>
      <c r="J66" s="9">
        <v>70528041</v>
      </c>
      <c r="K66" s="9" t="s">
        <v>43</v>
      </c>
      <c r="L66" s="9" t="s">
        <v>675</v>
      </c>
      <c r="M66" s="9" t="s">
        <v>676</v>
      </c>
      <c r="N66" s="9" t="s">
        <v>677</v>
      </c>
      <c r="O66" s="9" t="s">
        <v>326</v>
      </c>
      <c r="P66" s="9"/>
      <c r="Q66" s="9" t="str">
        <f t="shared" si="1"/>
        <v>SI</v>
      </c>
      <c r="R66" s="8"/>
      <c r="S66" s="11"/>
      <c r="T66" s="11">
        <v>41841</v>
      </c>
      <c r="U66" s="11">
        <v>41841</v>
      </c>
      <c r="V66" s="11" t="s">
        <v>871</v>
      </c>
      <c r="W66" s="8"/>
      <c r="X66" s="8"/>
      <c r="Y66" s="8"/>
      <c r="Z66" s="8"/>
      <c r="AA66" s="8"/>
      <c r="AB66" s="8"/>
      <c r="AC66" s="8"/>
      <c r="AD66" s="8"/>
      <c r="AE66" s="8"/>
      <c r="AF66" s="8"/>
      <c r="AG66" s="8"/>
      <c r="AH66" s="32" t="str">
        <f t="shared" ref="AH66:AH97" si="3">IF(O66="Por iniciar","Por iniciar",(IF(O66&lt;&gt;"Resuelto",IF($AI$1-T66&lt;8,"V",IF($AI$1-T66&lt;15,"A","R")),"Resuelto")))</f>
        <v>R</v>
      </c>
    </row>
    <row r="67" spans="1:34" ht="168.75" customHeight="1" x14ac:dyDescent="0.2">
      <c r="A67" s="8" t="s">
        <v>747</v>
      </c>
      <c r="B67" s="9">
        <v>10000</v>
      </c>
      <c r="C67" s="9" t="s">
        <v>755</v>
      </c>
      <c r="D67" s="10">
        <v>41822</v>
      </c>
      <c r="E67" s="9" t="s">
        <v>521</v>
      </c>
      <c r="F67" s="9" t="s">
        <v>533</v>
      </c>
      <c r="G67" s="9" t="s">
        <v>678</v>
      </c>
      <c r="H67" s="9" t="s">
        <v>65</v>
      </c>
      <c r="I67" s="9" t="s">
        <v>679</v>
      </c>
      <c r="J67" s="9">
        <v>8371599</v>
      </c>
      <c r="K67" s="9" t="s">
        <v>297</v>
      </c>
      <c r="L67" s="9" t="s">
        <v>680</v>
      </c>
      <c r="M67" s="9" t="s">
        <v>225</v>
      </c>
      <c r="N67" s="9" t="s">
        <v>23</v>
      </c>
      <c r="O67" s="9" t="s">
        <v>320</v>
      </c>
      <c r="P67" s="9"/>
      <c r="Q67" s="9" t="str">
        <f t="shared" ref="Q67:Q130" si="4">IF(O67=P67,"NO","SI")</f>
        <v>SI</v>
      </c>
      <c r="R67" s="8"/>
      <c r="S67" s="11"/>
      <c r="T67" s="11"/>
      <c r="U67" s="11"/>
      <c r="V67" s="11" t="s">
        <v>793</v>
      </c>
      <c r="W67" s="8"/>
      <c r="X67" s="8"/>
      <c r="Y67" s="8"/>
      <c r="Z67" s="8"/>
      <c r="AA67" s="8"/>
      <c r="AB67" s="8"/>
      <c r="AC67" s="8"/>
      <c r="AD67" s="8"/>
      <c r="AE67" s="8"/>
      <c r="AF67" s="8"/>
      <c r="AG67" s="8"/>
      <c r="AH67" s="32" t="str">
        <f t="shared" si="3"/>
        <v>Resuelto</v>
      </c>
    </row>
    <row r="68" spans="1:34" ht="78.75" customHeight="1" x14ac:dyDescent="0.2">
      <c r="A68" s="8" t="s">
        <v>747</v>
      </c>
      <c r="B68" s="9">
        <v>11000</v>
      </c>
      <c r="C68" s="9" t="s">
        <v>756</v>
      </c>
      <c r="D68" s="10">
        <v>41855</v>
      </c>
      <c r="E68" s="9" t="s">
        <v>54</v>
      </c>
      <c r="F68" s="9" t="s">
        <v>82</v>
      </c>
      <c r="G68" s="9" t="s">
        <v>91</v>
      </c>
      <c r="H68" s="9" t="s">
        <v>18</v>
      </c>
      <c r="I68" s="9" t="s">
        <v>681</v>
      </c>
      <c r="J68" s="9">
        <v>70466038</v>
      </c>
      <c r="K68" s="9" t="s">
        <v>43</v>
      </c>
      <c r="L68" s="9" t="s">
        <v>682</v>
      </c>
      <c r="M68" s="9" t="s">
        <v>29</v>
      </c>
      <c r="N68" s="9" t="s">
        <v>23</v>
      </c>
      <c r="O68" s="9" t="s">
        <v>320</v>
      </c>
      <c r="P68" s="9"/>
      <c r="Q68" s="9" t="str">
        <f t="shared" si="4"/>
        <v>SI</v>
      </c>
      <c r="R68" s="8"/>
      <c r="S68" s="11"/>
      <c r="T68" s="11"/>
      <c r="U68" s="11"/>
      <c r="V68" s="11"/>
      <c r="W68" s="8"/>
      <c r="X68" s="8"/>
      <c r="Y68" s="8"/>
      <c r="Z68" s="8"/>
      <c r="AA68" s="8"/>
      <c r="AB68" s="8"/>
      <c r="AC68" s="8"/>
      <c r="AD68" s="8"/>
      <c r="AE68" s="8"/>
      <c r="AF68" s="8"/>
      <c r="AG68" s="8"/>
      <c r="AH68" s="32" t="str">
        <f t="shared" si="3"/>
        <v>Resuelto</v>
      </c>
    </row>
    <row r="69" spans="1:34" ht="149.25" customHeight="1" x14ac:dyDescent="0.2">
      <c r="A69" s="8" t="s">
        <v>931</v>
      </c>
      <c r="B69" s="9">
        <v>11013</v>
      </c>
      <c r="C69" s="9" t="s">
        <v>756</v>
      </c>
      <c r="D69" s="10">
        <v>42018</v>
      </c>
      <c r="E69" s="9" t="s">
        <v>54</v>
      </c>
      <c r="F69" s="9" t="s">
        <v>55</v>
      </c>
      <c r="G69" s="9" t="s">
        <v>56</v>
      </c>
      <c r="H69" s="9" t="s">
        <v>18</v>
      </c>
      <c r="I69" s="9" t="s">
        <v>683</v>
      </c>
      <c r="J69" s="9">
        <v>17058384</v>
      </c>
      <c r="K69" s="9" t="s">
        <v>43</v>
      </c>
      <c r="L69" s="9" t="s">
        <v>684</v>
      </c>
      <c r="M69" s="9" t="s">
        <v>29</v>
      </c>
      <c r="N69" s="9" t="s">
        <v>23</v>
      </c>
      <c r="O69" s="9" t="s">
        <v>326</v>
      </c>
      <c r="P69" s="9"/>
      <c r="Q69" s="9" t="str">
        <f t="shared" si="4"/>
        <v>SI</v>
      </c>
      <c r="R69" s="8"/>
      <c r="S69" s="11"/>
      <c r="T69" s="11">
        <v>42051</v>
      </c>
      <c r="U69" s="11"/>
      <c r="V69" s="11"/>
      <c r="W69" s="8" t="s">
        <v>848</v>
      </c>
      <c r="X69" s="8"/>
      <c r="Y69" s="8"/>
      <c r="Z69" s="8" t="s">
        <v>849</v>
      </c>
      <c r="AA69" s="8"/>
      <c r="AB69" s="8"/>
      <c r="AC69" s="8"/>
      <c r="AD69" s="8"/>
      <c r="AE69" s="8"/>
      <c r="AF69" s="8"/>
      <c r="AG69" s="8"/>
      <c r="AH69" s="32" t="str">
        <f t="shared" si="3"/>
        <v>R</v>
      </c>
    </row>
    <row r="70" spans="1:34" ht="67.5" customHeight="1" x14ac:dyDescent="0.2">
      <c r="A70" s="8" t="s">
        <v>747</v>
      </c>
      <c r="B70" s="9">
        <v>99000</v>
      </c>
      <c r="C70" s="9" t="s">
        <v>22</v>
      </c>
      <c r="D70" s="10">
        <v>41685</v>
      </c>
      <c r="E70" s="9" t="s">
        <v>24</v>
      </c>
      <c r="F70" s="9" t="s">
        <v>524</v>
      </c>
      <c r="G70" s="9" t="s">
        <v>685</v>
      </c>
      <c r="H70" s="9" t="s">
        <v>18</v>
      </c>
      <c r="I70" s="9" t="s">
        <v>686</v>
      </c>
      <c r="J70" s="9"/>
      <c r="K70" s="9" t="s">
        <v>97</v>
      </c>
      <c r="L70" s="9" t="s">
        <v>687</v>
      </c>
      <c r="M70" s="9" t="s">
        <v>676</v>
      </c>
      <c r="N70" s="9" t="s">
        <v>688</v>
      </c>
      <c r="O70" s="9" t="s">
        <v>326</v>
      </c>
      <c r="P70" s="9"/>
      <c r="Q70" s="9" t="str">
        <f t="shared" si="4"/>
        <v>SI</v>
      </c>
      <c r="R70" s="8"/>
      <c r="S70" s="11"/>
      <c r="T70" s="11">
        <v>41685</v>
      </c>
      <c r="U70" s="11"/>
      <c r="V70" s="11"/>
      <c r="W70" s="8"/>
      <c r="X70" s="8"/>
      <c r="Y70" s="8"/>
      <c r="Z70" s="8"/>
      <c r="AA70" s="8"/>
      <c r="AB70" s="8"/>
      <c r="AC70" s="8"/>
      <c r="AD70" s="8"/>
      <c r="AE70" s="8"/>
      <c r="AF70" s="8"/>
      <c r="AG70" s="8"/>
      <c r="AH70" s="32" t="str">
        <f t="shared" si="3"/>
        <v>R</v>
      </c>
    </row>
    <row r="71" spans="1:34" ht="168.75" customHeight="1" x14ac:dyDescent="0.2">
      <c r="A71" s="8" t="s">
        <v>747</v>
      </c>
      <c r="B71" s="9">
        <v>99001</v>
      </c>
      <c r="C71" s="9" t="s">
        <v>22</v>
      </c>
      <c r="D71" s="10">
        <v>41685</v>
      </c>
      <c r="E71" s="9" t="s">
        <v>24</v>
      </c>
      <c r="F71" s="9" t="s">
        <v>524</v>
      </c>
      <c r="G71" s="9" t="s">
        <v>576</v>
      </c>
      <c r="H71" s="9" t="s">
        <v>18</v>
      </c>
      <c r="I71" s="9" t="s">
        <v>689</v>
      </c>
      <c r="J71" s="9"/>
      <c r="K71" s="9" t="s">
        <v>690</v>
      </c>
      <c r="L71" s="9" t="s">
        <v>691</v>
      </c>
      <c r="M71" s="9" t="s">
        <v>22</v>
      </c>
      <c r="N71" s="9" t="s">
        <v>23</v>
      </c>
      <c r="O71" s="9" t="s">
        <v>320</v>
      </c>
      <c r="P71" s="9"/>
      <c r="Q71" s="9" t="str">
        <f t="shared" si="4"/>
        <v>SI</v>
      </c>
      <c r="R71" s="8"/>
      <c r="S71" s="11"/>
      <c r="T71" s="11"/>
      <c r="U71" s="11"/>
      <c r="V71" s="11" t="s">
        <v>794</v>
      </c>
      <c r="W71" s="8"/>
      <c r="X71" s="8"/>
      <c r="Y71" s="8"/>
      <c r="Z71" s="8"/>
      <c r="AA71" s="8"/>
      <c r="AB71" s="8"/>
      <c r="AC71" s="8"/>
      <c r="AD71" s="8"/>
      <c r="AE71" s="8"/>
      <c r="AF71" s="8"/>
      <c r="AG71" s="8"/>
      <c r="AH71" s="32" t="str">
        <f t="shared" si="3"/>
        <v>Resuelto</v>
      </c>
    </row>
    <row r="72" spans="1:34" ht="38.25" customHeight="1" x14ac:dyDescent="0.2">
      <c r="A72" s="8" t="s">
        <v>747</v>
      </c>
      <c r="B72" s="9">
        <v>99002</v>
      </c>
      <c r="C72" s="9" t="s">
        <v>22</v>
      </c>
      <c r="D72" s="10">
        <v>41685</v>
      </c>
      <c r="E72" s="9" t="s">
        <v>45</v>
      </c>
      <c r="F72" s="9" t="s">
        <v>530</v>
      </c>
      <c r="G72" s="9" t="s">
        <v>634</v>
      </c>
      <c r="H72" s="9" t="s">
        <v>18</v>
      </c>
      <c r="I72" s="9" t="s">
        <v>692</v>
      </c>
      <c r="J72" s="9"/>
      <c r="K72" s="9" t="s">
        <v>92</v>
      </c>
      <c r="L72" s="9" t="s">
        <v>693</v>
      </c>
      <c r="M72" s="9" t="s">
        <v>22</v>
      </c>
      <c r="N72" s="9" t="s">
        <v>23</v>
      </c>
      <c r="O72" s="9" t="s">
        <v>320</v>
      </c>
      <c r="P72" s="9"/>
      <c r="Q72" s="9" t="str">
        <f t="shared" si="4"/>
        <v>SI</v>
      </c>
      <c r="R72" s="8"/>
      <c r="S72" s="11"/>
      <c r="T72" s="11"/>
      <c r="U72" s="11"/>
      <c r="V72" s="11" t="s">
        <v>795</v>
      </c>
      <c r="W72" s="8"/>
      <c r="X72" s="8"/>
      <c r="Y72" s="8"/>
      <c r="Z72" s="8"/>
      <c r="AA72" s="8"/>
      <c r="AB72" s="8"/>
      <c r="AC72" s="8"/>
      <c r="AD72" s="8"/>
      <c r="AE72" s="8"/>
      <c r="AF72" s="8"/>
      <c r="AG72" s="8"/>
      <c r="AH72" s="32" t="str">
        <f t="shared" si="3"/>
        <v>Resuelto</v>
      </c>
    </row>
    <row r="73" spans="1:34" ht="168.75" customHeight="1" x14ac:dyDescent="0.2">
      <c r="A73" s="8" t="s">
        <v>747</v>
      </c>
      <c r="B73" s="9">
        <v>99003</v>
      </c>
      <c r="C73" s="9" t="s">
        <v>22</v>
      </c>
      <c r="D73" s="10">
        <v>41684</v>
      </c>
      <c r="E73" s="9" t="s">
        <v>45</v>
      </c>
      <c r="F73" s="9" t="s">
        <v>534</v>
      </c>
      <c r="G73" s="9" t="s">
        <v>23</v>
      </c>
      <c r="H73" s="9" t="s">
        <v>65</v>
      </c>
      <c r="I73" s="9" t="s">
        <v>694</v>
      </c>
      <c r="J73" s="9"/>
      <c r="K73" s="9" t="s">
        <v>43</v>
      </c>
      <c r="L73" s="9" t="s">
        <v>695</v>
      </c>
      <c r="M73" s="9" t="s">
        <v>22</v>
      </c>
      <c r="N73" s="9" t="s">
        <v>23</v>
      </c>
      <c r="O73" s="9" t="s">
        <v>320</v>
      </c>
      <c r="P73" s="9"/>
      <c r="Q73" s="9" t="str">
        <f t="shared" si="4"/>
        <v>SI</v>
      </c>
      <c r="R73" s="8"/>
      <c r="S73" s="11"/>
      <c r="T73" s="11"/>
      <c r="U73" s="11"/>
      <c r="V73" s="11" t="s">
        <v>796</v>
      </c>
      <c r="W73" s="8"/>
      <c r="X73" s="8"/>
      <c r="Y73" s="8"/>
      <c r="Z73" s="8"/>
      <c r="AA73" s="8"/>
      <c r="AB73" s="8"/>
      <c r="AC73" s="8"/>
      <c r="AD73" s="8"/>
      <c r="AE73" s="8"/>
      <c r="AF73" s="8"/>
      <c r="AG73" s="8"/>
      <c r="AH73" s="32" t="str">
        <f t="shared" si="3"/>
        <v>Resuelto</v>
      </c>
    </row>
    <row r="74" spans="1:34" ht="168.75" customHeight="1" x14ac:dyDescent="0.2">
      <c r="A74" s="8" t="s">
        <v>747</v>
      </c>
      <c r="B74" s="9">
        <v>99004</v>
      </c>
      <c r="C74" s="9" t="s">
        <v>22</v>
      </c>
      <c r="D74" s="10">
        <v>41535</v>
      </c>
      <c r="E74" s="9" t="s">
        <v>24</v>
      </c>
      <c r="F74" s="9" t="s">
        <v>261</v>
      </c>
      <c r="G74" s="9" t="s">
        <v>696</v>
      </c>
      <c r="H74" s="9" t="s">
        <v>18</v>
      </c>
      <c r="I74" s="9" t="s">
        <v>697</v>
      </c>
      <c r="J74" s="9"/>
      <c r="K74" s="9" t="s">
        <v>43</v>
      </c>
      <c r="L74" s="9" t="s">
        <v>698</v>
      </c>
      <c r="M74" s="9" t="s">
        <v>22</v>
      </c>
      <c r="N74" s="9" t="s">
        <v>23</v>
      </c>
      <c r="O74" s="9" t="s">
        <v>320</v>
      </c>
      <c r="P74" s="9"/>
      <c r="Q74" s="9" t="str">
        <f t="shared" si="4"/>
        <v>SI</v>
      </c>
      <c r="R74" s="8"/>
      <c r="S74" s="11"/>
      <c r="T74" s="11"/>
      <c r="U74" s="11"/>
      <c r="V74" s="11" t="s">
        <v>734</v>
      </c>
      <c r="W74" s="8"/>
      <c r="X74" s="8"/>
      <c r="Y74" s="8"/>
      <c r="Z74" s="8"/>
      <c r="AA74" s="8"/>
      <c r="AB74" s="8"/>
      <c r="AC74" s="8"/>
      <c r="AD74" s="8"/>
      <c r="AE74" s="8"/>
      <c r="AF74" s="8"/>
      <c r="AG74" s="8"/>
      <c r="AH74" s="32" t="str">
        <f t="shared" si="3"/>
        <v>Resuelto</v>
      </c>
    </row>
    <row r="75" spans="1:34" ht="213.75" customHeight="1" x14ac:dyDescent="0.2">
      <c r="A75" s="8" t="s">
        <v>747</v>
      </c>
      <c r="B75" s="9">
        <v>99005</v>
      </c>
      <c r="C75" s="9" t="s">
        <v>22</v>
      </c>
      <c r="D75" s="10">
        <v>41611</v>
      </c>
      <c r="E75" s="9" t="s">
        <v>54</v>
      </c>
      <c r="F75" s="9" t="s">
        <v>275</v>
      </c>
      <c r="G75" s="9" t="s">
        <v>699</v>
      </c>
      <c r="H75" s="9" t="s">
        <v>18</v>
      </c>
      <c r="I75" s="9" t="s">
        <v>700</v>
      </c>
      <c r="J75" s="9"/>
      <c r="K75" s="9" t="s">
        <v>43</v>
      </c>
      <c r="L75" s="9" t="s">
        <v>701</v>
      </c>
      <c r="M75" s="9" t="s">
        <v>22</v>
      </c>
      <c r="N75" s="9" t="s">
        <v>23</v>
      </c>
      <c r="O75" s="9" t="s">
        <v>320</v>
      </c>
      <c r="P75" s="9"/>
      <c r="Q75" s="9" t="str">
        <f t="shared" si="4"/>
        <v>SI</v>
      </c>
      <c r="R75" s="8"/>
      <c r="S75" s="11"/>
      <c r="T75" s="11"/>
      <c r="U75" s="11"/>
      <c r="V75" s="11" t="s">
        <v>735</v>
      </c>
      <c r="W75" s="8"/>
      <c r="X75" s="8"/>
      <c r="Y75" s="8"/>
      <c r="Z75" s="8"/>
      <c r="AA75" s="8"/>
      <c r="AB75" s="8"/>
      <c r="AC75" s="8"/>
      <c r="AD75" s="8"/>
      <c r="AE75" s="8"/>
      <c r="AF75" s="8"/>
      <c r="AG75" s="8"/>
      <c r="AH75" s="32" t="str">
        <f t="shared" si="3"/>
        <v>Resuelto</v>
      </c>
    </row>
    <row r="76" spans="1:34" ht="225" customHeight="1" x14ac:dyDescent="0.2">
      <c r="A76" s="8" t="s">
        <v>747</v>
      </c>
      <c r="B76" s="9">
        <v>99006</v>
      </c>
      <c r="C76" s="9" t="s">
        <v>22</v>
      </c>
      <c r="D76" s="10">
        <v>41365</v>
      </c>
      <c r="E76" s="9" t="s">
        <v>54</v>
      </c>
      <c r="F76" s="9" t="s">
        <v>275</v>
      </c>
      <c r="G76" s="9" t="s">
        <v>699</v>
      </c>
      <c r="H76" s="9" t="s">
        <v>18</v>
      </c>
      <c r="I76" s="9" t="s">
        <v>702</v>
      </c>
      <c r="J76" s="9"/>
      <c r="K76" s="9" t="s">
        <v>297</v>
      </c>
      <c r="L76" s="9" t="s">
        <v>703</v>
      </c>
      <c r="M76" s="9" t="s">
        <v>22</v>
      </c>
      <c r="N76" s="9" t="s">
        <v>23</v>
      </c>
      <c r="O76" s="9" t="s">
        <v>320</v>
      </c>
      <c r="P76" s="9"/>
      <c r="Q76" s="9" t="str">
        <f t="shared" si="4"/>
        <v>SI</v>
      </c>
      <c r="R76" s="8"/>
      <c r="S76" s="11"/>
      <c r="T76" s="11"/>
      <c r="U76" s="11"/>
      <c r="V76" s="11" t="s">
        <v>736</v>
      </c>
      <c r="W76" s="8"/>
      <c r="X76" s="8"/>
      <c r="Y76" s="8"/>
      <c r="Z76" s="8"/>
      <c r="AA76" s="8"/>
      <c r="AB76" s="8"/>
      <c r="AC76" s="8"/>
      <c r="AD76" s="8"/>
      <c r="AE76" s="8"/>
      <c r="AF76" s="8"/>
      <c r="AG76" s="8"/>
      <c r="AH76" s="32" t="str">
        <f t="shared" si="3"/>
        <v>Resuelto</v>
      </c>
    </row>
    <row r="77" spans="1:34" ht="213.75" customHeight="1" x14ac:dyDescent="0.2">
      <c r="A77" s="8" t="s">
        <v>747</v>
      </c>
      <c r="B77" s="9">
        <v>99007</v>
      </c>
      <c r="C77" s="9" t="s">
        <v>22</v>
      </c>
      <c r="D77" s="10">
        <v>41428</v>
      </c>
      <c r="E77" s="9" t="s">
        <v>54</v>
      </c>
      <c r="F77" s="9" t="s">
        <v>275</v>
      </c>
      <c r="G77" s="9" t="s">
        <v>699</v>
      </c>
      <c r="H77" s="9" t="s">
        <v>18</v>
      </c>
      <c r="I77" s="9" t="s">
        <v>704</v>
      </c>
      <c r="J77" s="9"/>
      <c r="K77" s="9" t="s">
        <v>20</v>
      </c>
      <c r="L77" s="9" t="s">
        <v>705</v>
      </c>
      <c r="M77" s="9" t="s">
        <v>706</v>
      </c>
      <c r="N77" s="9" t="s">
        <v>23</v>
      </c>
      <c r="O77" s="9" t="s">
        <v>320</v>
      </c>
      <c r="P77" s="9"/>
      <c r="Q77" s="9" t="str">
        <f t="shared" si="4"/>
        <v>SI</v>
      </c>
      <c r="R77" s="8"/>
      <c r="S77" s="11"/>
      <c r="T77" s="11"/>
      <c r="U77" s="11"/>
      <c r="V77" s="11" t="s">
        <v>737</v>
      </c>
      <c r="W77" s="8"/>
      <c r="X77" s="8"/>
      <c r="Y77" s="8"/>
      <c r="Z77" s="8"/>
      <c r="AA77" s="8"/>
      <c r="AB77" s="8"/>
      <c r="AC77" s="8"/>
      <c r="AD77" s="8"/>
      <c r="AE77" s="8"/>
      <c r="AF77" s="8"/>
      <c r="AG77" s="8"/>
      <c r="AH77" s="32" t="str">
        <f t="shared" si="3"/>
        <v>Resuelto</v>
      </c>
    </row>
    <row r="78" spans="1:34" ht="225" customHeight="1" x14ac:dyDescent="0.2">
      <c r="A78" s="8" t="s">
        <v>747</v>
      </c>
      <c r="B78" s="9">
        <v>99008</v>
      </c>
      <c r="C78" s="9" t="s">
        <v>22</v>
      </c>
      <c r="D78" s="10">
        <v>41632</v>
      </c>
      <c r="E78" s="9" t="s">
        <v>24</v>
      </c>
      <c r="F78" s="9" t="s">
        <v>535</v>
      </c>
      <c r="G78" s="9" t="s">
        <v>23</v>
      </c>
      <c r="H78" s="9" t="s">
        <v>707</v>
      </c>
      <c r="I78" s="9" t="s">
        <v>708</v>
      </c>
      <c r="J78" s="9"/>
      <c r="K78" s="9" t="s">
        <v>20</v>
      </c>
      <c r="L78" s="9" t="s">
        <v>709</v>
      </c>
      <c r="M78" s="9" t="s">
        <v>706</v>
      </c>
      <c r="N78" s="9" t="s">
        <v>23</v>
      </c>
      <c r="O78" s="9" t="s">
        <v>320</v>
      </c>
      <c r="P78" s="9"/>
      <c r="Q78" s="9" t="str">
        <f t="shared" si="4"/>
        <v>SI</v>
      </c>
      <c r="R78" s="8"/>
      <c r="S78" s="11"/>
      <c r="T78" s="11"/>
      <c r="U78" s="11"/>
      <c r="V78" s="11" t="s">
        <v>738</v>
      </c>
      <c r="W78" s="8"/>
      <c r="X78" s="8"/>
      <c r="Y78" s="8"/>
      <c r="Z78" s="8"/>
      <c r="AA78" s="8"/>
      <c r="AB78" s="8"/>
      <c r="AC78" s="8"/>
      <c r="AD78" s="8"/>
      <c r="AE78" s="8"/>
      <c r="AF78" s="8"/>
      <c r="AG78" s="8"/>
      <c r="AH78" s="32" t="str">
        <f t="shared" si="3"/>
        <v>Resuelto</v>
      </c>
    </row>
    <row r="79" spans="1:34" ht="270" customHeight="1" x14ac:dyDescent="0.2">
      <c r="A79" s="8" t="s">
        <v>747</v>
      </c>
      <c r="B79" s="9">
        <v>99009</v>
      </c>
      <c r="C79" s="9" t="s">
        <v>22</v>
      </c>
      <c r="D79" s="10">
        <v>41394</v>
      </c>
      <c r="E79" s="9" t="s">
        <v>54</v>
      </c>
      <c r="F79" s="9" t="s">
        <v>271</v>
      </c>
      <c r="G79" s="9" t="s">
        <v>621</v>
      </c>
      <c r="H79" s="9" t="s">
        <v>18</v>
      </c>
      <c r="I79" s="9" t="s">
        <v>710</v>
      </c>
      <c r="J79" s="9"/>
      <c r="K79" s="9" t="s">
        <v>574</v>
      </c>
      <c r="L79" s="9" t="s">
        <v>711</v>
      </c>
      <c r="M79" s="9" t="s">
        <v>22</v>
      </c>
      <c r="N79" s="9" t="s">
        <v>23</v>
      </c>
      <c r="O79" s="9" t="s">
        <v>320</v>
      </c>
      <c r="P79" s="9"/>
      <c r="Q79" s="9" t="str">
        <f t="shared" si="4"/>
        <v>SI</v>
      </c>
      <c r="R79" s="8"/>
      <c r="S79" s="11"/>
      <c r="T79" s="11"/>
      <c r="U79" s="11"/>
      <c r="V79" s="11" t="s">
        <v>739</v>
      </c>
      <c r="W79" s="8"/>
      <c r="X79" s="8"/>
      <c r="Y79" s="8"/>
      <c r="Z79" s="8"/>
      <c r="AA79" s="8"/>
      <c r="AB79" s="8"/>
      <c r="AC79" s="8"/>
      <c r="AD79" s="8"/>
      <c r="AE79" s="8"/>
      <c r="AF79" s="8"/>
      <c r="AG79" s="8"/>
      <c r="AH79" s="32" t="str">
        <f t="shared" si="3"/>
        <v>Resuelto</v>
      </c>
    </row>
    <row r="80" spans="1:34" ht="236.25" customHeight="1" x14ac:dyDescent="0.2">
      <c r="A80" s="8" t="s">
        <v>747</v>
      </c>
      <c r="B80" s="9">
        <v>99010</v>
      </c>
      <c r="C80" s="9" t="s">
        <v>22</v>
      </c>
      <c r="D80" s="10">
        <v>41316</v>
      </c>
      <c r="E80" s="9" t="s">
        <v>205</v>
      </c>
      <c r="F80" s="9" t="s">
        <v>536</v>
      </c>
      <c r="G80" s="9" t="s">
        <v>712</v>
      </c>
      <c r="H80" s="9" t="s">
        <v>18</v>
      </c>
      <c r="I80" s="9" t="s">
        <v>713</v>
      </c>
      <c r="J80" s="9"/>
      <c r="K80" s="9" t="s">
        <v>67</v>
      </c>
      <c r="L80" s="9" t="s">
        <v>714</v>
      </c>
      <c r="M80" s="9" t="s">
        <v>22</v>
      </c>
      <c r="N80" s="9" t="s">
        <v>23</v>
      </c>
      <c r="O80" s="9" t="s">
        <v>320</v>
      </c>
      <c r="P80" s="9"/>
      <c r="Q80" s="9" t="str">
        <f t="shared" si="4"/>
        <v>SI</v>
      </c>
      <c r="R80" s="8"/>
      <c r="S80" s="11"/>
      <c r="T80" s="11"/>
      <c r="U80" s="11"/>
      <c r="V80" s="11" t="s">
        <v>740</v>
      </c>
      <c r="W80" s="8"/>
      <c r="X80" s="8"/>
      <c r="Y80" s="8"/>
      <c r="Z80" s="8"/>
      <c r="AA80" s="8"/>
      <c r="AB80" s="8"/>
      <c r="AC80" s="8"/>
      <c r="AD80" s="8"/>
      <c r="AE80" s="8"/>
      <c r="AF80" s="8"/>
      <c r="AG80" s="8"/>
      <c r="AH80" s="32" t="str">
        <f t="shared" si="3"/>
        <v>Resuelto</v>
      </c>
    </row>
    <row r="81" spans="1:37" ht="213.75" customHeight="1" x14ac:dyDescent="0.2">
      <c r="A81" s="8" t="s">
        <v>747</v>
      </c>
      <c r="B81" s="9">
        <v>99011</v>
      </c>
      <c r="C81" s="9" t="s">
        <v>22</v>
      </c>
      <c r="D81" s="10">
        <v>41582</v>
      </c>
      <c r="E81" s="9" t="s">
        <v>86</v>
      </c>
      <c r="F81" s="9" t="s">
        <v>87</v>
      </c>
      <c r="G81" s="9" t="s">
        <v>538</v>
      </c>
      <c r="H81" s="9" t="s">
        <v>18</v>
      </c>
      <c r="I81" s="9" t="s">
        <v>715</v>
      </c>
      <c r="J81" s="9"/>
      <c r="K81" s="9" t="s">
        <v>43</v>
      </c>
      <c r="L81" s="9" t="s">
        <v>716</v>
      </c>
      <c r="M81" s="9" t="s">
        <v>22</v>
      </c>
      <c r="N81" s="9" t="s">
        <v>23</v>
      </c>
      <c r="O81" s="9" t="s">
        <v>320</v>
      </c>
      <c r="P81" s="9"/>
      <c r="Q81" s="9" t="str">
        <f t="shared" si="4"/>
        <v>SI</v>
      </c>
      <c r="R81" s="8"/>
      <c r="S81" s="11"/>
      <c r="T81" s="11">
        <v>42061</v>
      </c>
      <c r="U81" s="11"/>
      <c r="V81" s="11" t="s">
        <v>741</v>
      </c>
      <c r="W81" s="8"/>
      <c r="X81" s="8"/>
      <c r="Y81" s="8"/>
      <c r="Z81" s="8"/>
      <c r="AA81" s="8"/>
      <c r="AB81" s="8"/>
      <c r="AC81" s="8"/>
      <c r="AD81" s="8"/>
      <c r="AE81" s="8"/>
      <c r="AF81" s="8"/>
      <c r="AG81" s="8"/>
      <c r="AH81" s="32" t="str">
        <f t="shared" si="3"/>
        <v>Resuelto</v>
      </c>
    </row>
    <row r="82" spans="1:37" ht="168.75" customHeight="1" x14ac:dyDescent="0.2">
      <c r="A82" s="8" t="s">
        <v>747</v>
      </c>
      <c r="B82" s="9">
        <v>99012</v>
      </c>
      <c r="C82" s="9" t="s">
        <v>22</v>
      </c>
      <c r="D82" s="10">
        <v>41702</v>
      </c>
      <c r="E82" s="9" t="s">
        <v>54</v>
      </c>
      <c r="F82" s="9" t="s">
        <v>306</v>
      </c>
      <c r="G82" s="9" t="s">
        <v>307</v>
      </c>
      <c r="H82" s="9" t="s">
        <v>18</v>
      </c>
      <c r="I82" s="9" t="s">
        <v>717</v>
      </c>
      <c r="J82" s="9"/>
      <c r="K82" s="9" t="s">
        <v>297</v>
      </c>
      <c r="L82" s="9" t="s">
        <v>718</v>
      </c>
      <c r="M82" s="9" t="s">
        <v>22</v>
      </c>
      <c r="N82" s="9" t="s">
        <v>23</v>
      </c>
      <c r="O82" s="9" t="s">
        <v>320</v>
      </c>
      <c r="P82" s="9"/>
      <c r="Q82" s="9" t="str">
        <f t="shared" si="4"/>
        <v>SI</v>
      </c>
      <c r="R82" s="8"/>
      <c r="S82" s="11"/>
      <c r="T82" s="11"/>
      <c r="U82" s="11"/>
      <c r="V82" s="11" t="s">
        <v>742</v>
      </c>
      <c r="W82" s="8"/>
      <c r="X82" s="8"/>
      <c r="Y82" s="8"/>
      <c r="Z82" s="8"/>
      <c r="AA82" s="8"/>
      <c r="AB82" s="8"/>
      <c r="AC82" s="8"/>
      <c r="AD82" s="8"/>
      <c r="AE82" s="8"/>
      <c r="AF82" s="8"/>
      <c r="AG82" s="8"/>
      <c r="AH82" s="32" t="str">
        <f t="shared" si="3"/>
        <v>Resuelto</v>
      </c>
    </row>
    <row r="83" spans="1:37" ht="213.75" customHeight="1" x14ac:dyDescent="0.2">
      <c r="A83" s="8" t="s">
        <v>747</v>
      </c>
      <c r="B83" s="9">
        <v>99014</v>
      </c>
      <c r="C83" s="9" t="s">
        <v>22</v>
      </c>
      <c r="D83" s="10">
        <v>41384</v>
      </c>
      <c r="E83" s="9" t="s">
        <v>54</v>
      </c>
      <c r="F83" s="9" t="s">
        <v>275</v>
      </c>
      <c r="G83" s="9" t="s">
        <v>699</v>
      </c>
      <c r="H83" s="9" t="s">
        <v>18</v>
      </c>
      <c r="I83" s="9" t="s">
        <v>719</v>
      </c>
      <c r="J83" s="9"/>
      <c r="K83" s="9" t="s">
        <v>297</v>
      </c>
      <c r="L83" s="9" t="s">
        <v>720</v>
      </c>
      <c r="M83" s="9" t="s">
        <v>22</v>
      </c>
      <c r="N83" s="9" t="s">
        <v>23</v>
      </c>
      <c r="O83" s="9" t="s">
        <v>320</v>
      </c>
      <c r="P83" s="9"/>
      <c r="Q83" s="9" t="str">
        <f t="shared" si="4"/>
        <v>SI</v>
      </c>
      <c r="R83" s="8"/>
      <c r="S83" s="11"/>
      <c r="T83" s="11"/>
      <c r="U83" s="11"/>
      <c r="V83" s="11" t="s">
        <v>743</v>
      </c>
      <c r="W83" s="8"/>
      <c r="X83" s="8"/>
      <c r="Y83" s="8"/>
      <c r="Z83" s="8"/>
      <c r="AA83" s="8"/>
      <c r="AB83" s="8"/>
      <c r="AC83" s="8"/>
      <c r="AD83" s="8"/>
      <c r="AE83" s="8"/>
      <c r="AF83" s="8"/>
      <c r="AG83" s="8"/>
      <c r="AH83" s="32" t="str">
        <f t="shared" si="3"/>
        <v>Resuelto</v>
      </c>
    </row>
    <row r="84" spans="1:37" ht="191.25" customHeight="1" x14ac:dyDescent="0.2">
      <c r="A84" s="8" t="s">
        <v>747</v>
      </c>
      <c r="B84" s="9">
        <v>99015</v>
      </c>
      <c r="C84" s="9" t="s">
        <v>22</v>
      </c>
      <c r="D84" s="10">
        <v>41431</v>
      </c>
      <c r="E84" s="9" t="s">
        <v>54</v>
      </c>
      <c r="F84" s="9" t="s">
        <v>90</v>
      </c>
      <c r="G84" s="9" t="s">
        <v>91</v>
      </c>
      <c r="H84" s="9" t="s">
        <v>18</v>
      </c>
      <c r="I84" s="9" t="s">
        <v>721</v>
      </c>
      <c r="J84" s="9"/>
      <c r="K84" s="9" t="s">
        <v>574</v>
      </c>
      <c r="L84" s="9" t="s">
        <v>722</v>
      </c>
      <c r="M84" s="9" t="s">
        <v>29</v>
      </c>
      <c r="N84" s="9" t="s">
        <v>23</v>
      </c>
      <c r="O84" s="9" t="s">
        <v>320</v>
      </c>
      <c r="P84" s="9"/>
      <c r="Q84" s="9" t="str">
        <f t="shared" si="4"/>
        <v>SI</v>
      </c>
      <c r="R84" s="8"/>
      <c r="S84" s="11"/>
      <c r="T84" s="11"/>
      <c r="U84" s="11"/>
      <c r="V84" s="11" t="s">
        <v>744</v>
      </c>
      <c r="W84" s="8"/>
      <c r="X84" s="8"/>
      <c r="Y84" s="8"/>
      <c r="Z84" s="8"/>
      <c r="AA84" s="8"/>
      <c r="AB84" s="8"/>
      <c r="AC84" s="8"/>
      <c r="AD84" s="8"/>
      <c r="AE84" s="8"/>
      <c r="AF84" s="8"/>
      <c r="AG84" s="8"/>
      <c r="AH84" s="32" t="str">
        <f t="shared" si="3"/>
        <v>Resuelto</v>
      </c>
    </row>
    <row r="85" spans="1:37" ht="247.5" customHeight="1" x14ac:dyDescent="0.2">
      <c r="A85" s="8" t="s">
        <v>747</v>
      </c>
      <c r="B85" s="9">
        <v>99016</v>
      </c>
      <c r="C85" s="9" t="s">
        <v>22</v>
      </c>
      <c r="D85" s="10">
        <v>41536</v>
      </c>
      <c r="E85" s="9" t="s">
        <v>96</v>
      </c>
      <c r="F85" s="9" t="s">
        <v>537</v>
      </c>
      <c r="G85" s="9" t="s">
        <v>723</v>
      </c>
      <c r="H85" s="9" t="s">
        <v>18</v>
      </c>
      <c r="I85" s="9" t="s">
        <v>724</v>
      </c>
      <c r="J85" s="9"/>
      <c r="K85" s="9" t="s">
        <v>297</v>
      </c>
      <c r="L85" s="9" t="s">
        <v>725</v>
      </c>
      <c r="M85" s="9" t="s">
        <v>22</v>
      </c>
      <c r="N85" s="9" t="s">
        <v>23</v>
      </c>
      <c r="O85" s="9" t="s">
        <v>320</v>
      </c>
      <c r="P85" s="9"/>
      <c r="Q85" s="9" t="str">
        <f t="shared" si="4"/>
        <v>SI</v>
      </c>
      <c r="R85" s="8"/>
      <c r="S85" s="11"/>
      <c r="T85" s="11">
        <v>41718</v>
      </c>
      <c r="U85" s="11">
        <v>41718</v>
      </c>
      <c r="V85" s="11" t="s">
        <v>912</v>
      </c>
      <c r="W85" s="8"/>
      <c r="X85" s="8"/>
      <c r="Y85" s="8"/>
      <c r="Z85" s="8"/>
      <c r="AA85" s="8"/>
      <c r="AB85" s="8"/>
      <c r="AC85" s="8" t="s">
        <v>930</v>
      </c>
      <c r="AD85" s="8"/>
      <c r="AE85" s="8"/>
      <c r="AF85" s="8"/>
      <c r="AG85" s="8"/>
      <c r="AH85" s="32" t="str">
        <f t="shared" si="3"/>
        <v>Resuelto</v>
      </c>
    </row>
    <row r="86" spans="1:37" ht="142.5" customHeight="1" x14ac:dyDescent="0.2">
      <c r="A86" s="8" t="s">
        <v>37</v>
      </c>
      <c r="B86" s="9">
        <v>2011</v>
      </c>
      <c r="C86" s="9" t="s">
        <v>749</v>
      </c>
      <c r="D86" s="10">
        <v>41864</v>
      </c>
      <c r="E86" s="9" t="s">
        <v>15</v>
      </c>
      <c r="F86" s="9" t="s">
        <v>16</v>
      </c>
      <c r="G86" s="9" t="s">
        <v>17</v>
      </c>
      <c r="H86" s="9" t="s">
        <v>18</v>
      </c>
      <c r="I86" s="9" t="s">
        <v>19</v>
      </c>
      <c r="J86" s="9">
        <v>22034911</v>
      </c>
      <c r="K86" s="9" t="s">
        <v>20</v>
      </c>
      <c r="L86" s="9" t="s">
        <v>21</v>
      </c>
      <c r="M86" s="9" t="s">
        <v>22</v>
      </c>
      <c r="N86" s="9" t="s">
        <v>23</v>
      </c>
      <c r="O86" s="9" t="s">
        <v>315</v>
      </c>
      <c r="P86" s="9"/>
      <c r="Q86" s="9" t="str">
        <f t="shared" si="4"/>
        <v>SI</v>
      </c>
      <c r="R86" s="8" t="s">
        <v>478</v>
      </c>
      <c r="S86" s="11">
        <v>42058</v>
      </c>
      <c r="T86" s="11">
        <v>42076</v>
      </c>
      <c r="U86" s="11"/>
      <c r="V86" s="11" t="s">
        <v>902</v>
      </c>
      <c r="W86" s="8"/>
      <c r="X86" s="8"/>
      <c r="Y86" s="8"/>
      <c r="Z86" s="8"/>
      <c r="AA86" s="8" t="s">
        <v>477</v>
      </c>
      <c r="AB86" s="8"/>
      <c r="AC86" s="8" t="s">
        <v>962</v>
      </c>
      <c r="AD86" s="8" t="s">
        <v>973</v>
      </c>
      <c r="AE86" s="8"/>
      <c r="AF86" s="8"/>
      <c r="AG86" s="8"/>
      <c r="AH86" s="32" t="str">
        <f t="shared" si="3"/>
        <v>A</v>
      </c>
    </row>
    <row r="87" spans="1:37" ht="126" customHeight="1" x14ac:dyDescent="0.2">
      <c r="A87" s="8" t="s">
        <v>37</v>
      </c>
      <c r="B87" s="9">
        <v>4009</v>
      </c>
      <c r="C87" s="9" t="s">
        <v>751</v>
      </c>
      <c r="D87" s="10">
        <v>41887</v>
      </c>
      <c r="E87" s="9" t="s">
        <v>24</v>
      </c>
      <c r="F87" s="9" t="s">
        <v>25</v>
      </c>
      <c r="G87" s="9" t="s">
        <v>26</v>
      </c>
      <c r="H87" s="9" t="s">
        <v>18</v>
      </c>
      <c r="I87" s="9" t="s">
        <v>27</v>
      </c>
      <c r="J87" s="9">
        <v>1017127700</v>
      </c>
      <c r="K87" s="9" t="s">
        <v>20</v>
      </c>
      <c r="L87" s="9" t="s">
        <v>28</v>
      </c>
      <c r="M87" s="9" t="s">
        <v>29</v>
      </c>
      <c r="N87" s="9" t="s">
        <v>23</v>
      </c>
      <c r="O87" s="9" t="s">
        <v>320</v>
      </c>
      <c r="P87" s="9"/>
      <c r="Q87" s="9" t="str">
        <f t="shared" si="4"/>
        <v>SI</v>
      </c>
      <c r="R87" s="8"/>
      <c r="S87" s="11"/>
      <c r="T87" s="18"/>
      <c r="U87" s="18"/>
      <c r="V87" s="11" t="s">
        <v>797</v>
      </c>
      <c r="W87" s="8"/>
      <c r="X87" s="8"/>
      <c r="Y87" s="8"/>
      <c r="Z87" s="8"/>
      <c r="AA87" s="8"/>
      <c r="AB87" s="8"/>
      <c r="AC87" s="8"/>
      <c r="AD87" s="8"/>
      <c r="AE87" s="8"/>
      <c r="AF87" s="8"/>
      <c r="AG87" s="8"/>
      <c r="AH87" s="32" t="str">
        <f t="shared" si="3"/>
        <v>Resuelto</v>
      </c>
    </row>
    <row r="88" spans="1:37" ht="191.25" customHeight="1" x14ac:dyDescent="0.2">
      <c r="A88" s="8" t="s">
        <v>37</v>
      </c>
      <c r="B88" s="9">
        <v>4010</v>
      </c>
      <c r="C88" s="9" t="s">
        <v>751</v>
      </c>
      <c r="D88" s="10">
        <v>41887</v>
      </c>
      <c r="E88" s="9" t="s">
        <v>24</v>
      </c>
      <c r="F88" s="9" t="s">
        <v>25</v>
      </c>
      <c r="G88" s="9" t="s">
        <v>26</v>
      </c>
      <c r="H88" s="9" t="s">
        <v>18</v>
      </c>
      <c r="I88" s="9" t="s">
        <v>30</v>
      </c>
      <c r="J88" s="9">
        <v>32421199</v>
      </c>
      <c r="K88" s="9" t="s">
        <v>20</v>
      </c>
      <c r="L88" s="9" t="s">
        <v>31</v>
      </c>
      <c r="M88" s="9" t="s">
        <v>22</v>
      </c>
      <c r="N88" s="9" t="s">
        <v>23</v>
      </c>
      <c r="O88" s="9" t="s">
        <v>320</v>
      </c>
      <c r="P88" s="9"/>
      <c r="Q88" s="9" t="str">
        <f t="shared" si="4"/>
        <v>SI</v>
      </c>
      <c r="R88" s="8"/>
      <c r="S88" s="11"/>
      <c r="T88" s="18"/>
      <c r="U88" s="18"/>
      <c r="V88" s="11" t="s">
        <v>798</v>
      </c>
      <c r="W88" s="8"/>
      <c r="X88" s="8"/>
      <c r="Y88" s="8"/>
      <c r="Z88" s="8"/>
      <c r="AA88" s="8"/>
      <c r="AB88" s="8"/>
      <c r="AC88" s="8"/>
      <c r="AD88" s="8"/>
      <c r="AE88" s="8"/>
      <c r="AF88" s="8"/>
      <c r="AG88" s="8"/>
      <c r="AH88" s="32" t="str">
        <f t="shared" si="3"/>
        <v>Resuelto</v>
      </c>
    </row>
    <row r="89" spans="1:37" ht="67.5" customHeight="1" x14ac:dyDescent="0.2">
      <c r="A89" s="8" t="s">
        <v>37</v>
      </c>
      <c r="B89" s="9">
        <v>4011</v>
      </c>
      <c r="C89" s="9" t="s">
        <v>751</v>
      </c>
      <c r="D89" s="10">
        <v>41887</v>
      </c>
      <c r="E89" s="9" t="s">
        <v>24</v>
      </c>
      <c r="F89" s="9" t="s">
        <v>32</v>
      </c>
      <c r="G89" s="9" t="s">
        <v>33</v>
      </c>
      <c r="H89" s="9" t="s">
        <v>18</v>
      </c>
      <c r="I89" s="9" t="s">
        <v>34</v>
      </c>
      <c r="J89" s="9">
        <v>22116290</v>
      </c>
      <c r="K89" s="9" t="s">
        <v>20</v>
      </c>
      <c r="L89" s="9" t="s">
        <v>35</v>
      </c>
      <c r="M89" s="9" t="s">
        <v>29</v>
      </c>
      <c r="N89" s="9" t="s">
        <v>23</v>
      </c>
      <c r="O89" s="9" t="s">
        <v>315</v>
      </c>
      <c r="P89" s="9"/>
      <c r="Q89" s="9" t="str">
        <f t="shared" si="4"/>
        <v>SI</v>
      </c>
      <c r="R89" s="8" t="s">
        <v>393</v>
      </c>
      <c r="S89" s="11">
        <v>42052</v>
      </c>
      <c r="T89" s="11">
        <v>42053</v>
      </c>
      <c r="U89" s="11"/>
      <c r="V89" s="11" t="s">
        <v>799</v>
      </c>
      <c r="W89" s="8"/>
      <c r="X89" s="8"/>
      <c r="Y89" s="8"/>
      <c r="Z89" s="8"/>
      <c r="AA89" s="8" t="s">
        <v>453</v>
      </c>
      <c r="AB89" s="8"/>
      <c r="AC89" s="8"/>
      <c r="AD89" s="8"/>
      <c r="AE89" s="8"/>
      <c r="AF89" s="8"/>
      <c r="AG89" s="8"/>
      <c r="AH89" s="32" t="str">
        <f t="shared" si="3"/>
        <v>R</v>
      </c>
    </row>
    <row r="90" spans="1:37" ht="213.75" customHeight="1" x14ac:dyDescent="0.2">
      <c r="A90" s="8" t="s">
        <v>39</v>
      </c>
      <c r="B90" s="9">
        <v>2010</v>
      </c>
      <c r="C90" s="9" t="s">
        <v>749</v>
      </c>
      <c r="D90" s="10">
        <v>41856</v>
      </c>
      <c r="E90" s="9" t="s">
        <v>15</v>
      </c>
      <c r="F90" s="9" t="s">
        <v>40</v>
      </c>
      <c r="G90" s="9" t="s">
        <v>41</v>
      </c>
      <c r="H90" s="9" t="s">
        <v>18</v>
      </c>
      <c r="I90" s="9" t="s">
        <v>42</v>
      </c>
      <c r="J90" s="9">
        <v>71184724</v>
      </c>
      <c r="K90" s="9" t="s">
        <v>43</v>
      </c>
      <c r="L90" s="9" t="s">
        <v>44</v>
      </c>
      <c r="M90" s="9" t="s">
        <v>22</v>
      </c>
      <c r="N90" s="9"/>
      <c r="O90" s="9" t="s">
        <v>320</v>
      </c>
      <c r="P90" s="9"/>
      <c r="Q90" s="9" t="str">
        <f t="shared" si="4"/>
        <v>SI</v>
      </c>
      <c r="R90" s="12" t="s">
        <v>183</v>
      </c>
      <c r="S90" s="13">
        <v>41901</v>
      </c>
      <c r="T90" s="24">
        <v>42004</v>
      </c>
      <c r="U90" s="24"/>
      <c r="V90" s="11" t="s">
        <v>800</v>
      </c>
      <c r="W90" s="12" t="s">
        <v>184</v>
      </c>
      <c r="X90" s="12"/>
      <c r="Y90" s="12"/>
      <c r="Z90" s="12"/>
      <c r="AA90" s="12"/>
      <c r="AB90" s="12"/>
      <c r="AC90" s="12"/>
      <c r="AD90" s="12"/>
      <c r="AE90" s="12"/>
      <c r="AF90" s="12"/>
      <c r="AG90" s="12"/>
      <c r="AH90" s="32" t="str">
        <f t="shared" si="3"/>
        <v>Resuelto</v>
      </c>
      <c r="AJ90" s="33" t="s">
        <v>1006</v>
      </c>
    </row>
    <row r="91" spans="1:37" ht="45" customHeight="1" x14ac:dyDescent="0.2">
      <c r="A91" s="8" t="s">
        <v>39</v>
      </c>
      <c r="B91" s="9">
        <v>7017</v>
      </c>
      <c r="C91" s="9" t="s">
        <v>752</v>
      </c>
      <c r="D91" s="10">
        <v>41892</v>
      </c>
      <c r="E91" s="9" t="s">
        <v>45</v>
      </c>
      <c r="F91" s="9" t="s">
        <v>46</v>
      </c>
      <c r="G91" s="9" t="s">
        <v>47</v>
      </c>
      <c r="H91" s="9" t="s">
        <v>18</v>
      </c>
      <c r="I91" s="9" t="s">
        <v>48</v>
      </c>
      <c r="J91" s="9">
        <v>71877333</v>
      </c>
      <c r="K91" s="9" t="s">
        <v>20</v>
      </c>
      <c r="L91" s="9" t="s">
        <v>49</v>
      </c>
      <c r="M91" s="9" t="s">
        <v>22</v>
      </c>
      <c r="N91" s="9"/>
      <c r="O91" s="9" t="s">
        <v>320</v>
      </c>
      <c r="P91" s="9"/>
      <c r="Q91" s="9" t="str">
        <f t="shared" si="4"/>
        <v>SI</v>
      </c>
      <c r="R91" s="12" t="s">
        <v>185</v>
      </c>
      <c r="S91" s="13">
        <v>41901</v>
      </c>
      <c r="T91" s="24">
        <v>42004</v>
      </c>
      <c r="U91" s="24"/>
      <c r="V91" s="11" t="s">
        <v>801</v>
      </c>
      <c r="W91" s="12" t="s">
        <v>186</v>
      </c>
      <c r="X91" s="12"/>
      <c r="Y91" s="12"/>
      <c r="Z91" s="12"/>
      <c r="AA91" s="12"/>
      <c r="AB91" s="12"/>
      <c r="AC91" s="12"/>
      <c r="AD91" s="12"/>
      <c r="AE91" s="12"/>
      <c r="AF91" s="12"/>
      <c r="AG91" s="12"/>
      <c r="AH91" s="32" t="str">
        <f t="shared" si="3"/>
        <v>Resuelto</v>
      </c>
      <c r="AJ91" s="33" t="s">
        <v>1006</v>
      </c>
    </row>
    <row r="92" spans="1:37" ht="135" customHeight="1" x14ac:dyDescent="0.2">
      <c r="A92" s="8" t="s">
        <v>39</v>
      </c>
      <c r="B92" s="9">
        <v>8021</v>
      </c>
      <c r="C92" s="9" t="s">
        <v>753</v>
      </c>
      <c r="D92" s="10">
        <v>41893</v>
      </c>
      <c r="E92" s="9" t="s">
        <v>45</v>
      </c>
      <c r="F92" s="9" t="s">
        <v>50</v>
      </c>
      <c r="G92" s="9" t="s">
        <v>51</v>
      </c>
      <c r="H92" s="9" t="s">
        <v>18</v>
      </c>
      <c r="I92" s="9" t="s">
        <v>52</v>
      </c>
      <c r="J92" s="9">
        <v>98452563</v>
      </c>
      <c r="K92" s="9" t="s">
        <v>43</v>
      </c>
      <c r="L92" s="9" t="s">
        <v>53</v>
      </c>
      <c r="M92" s="9" t="s">
        <v>22</v>
      </c>
      <c r="N92" s="9"/>
      <c r="O92" s="9" t="s">
        <v>320</v>
      </c>
      <c r="P92" s="9"/>
      <c r="Q92" s="9" t="str">
        <f t="shared" si="4"/>
        <v>SI</v>
      </c>
      <c r="R92" s="12" t="s">
        <v>372</v>
      </c>
      <c r="S92" s="13" t="s">
        <v>373</v>
      </c>
      <c r="T92" s="24">
        <v>42046</v>
      </c>
      <c r="U92" s="24"/>
      <c r="V92" s="11" t="s">
        <v>802</v>
      </c>
      <c r="W92" s="12" t="s">
        <v>187</v>
      </c>
      <c r="X92" s="8"/>
      <c r="Y92" s="8"/>
      <c r="Z92" s="8" t="s">
        <v>331</v>
      </c>
      <c r="AA92" s="8"/>
      <c r="AB92" s="8"/>
      <c r="AC92" s="8"/>
      <c r="AD92" s="8"/>
      <c r="AE92" s="8"/>
      <c r="AF92" s="12"/>
      <c r="AG92" s="12"/>
      <c r="AH92" s="32" t="str">
        <f t="shared" si="3"/>
        <v>Resuelto</v>
      </c>
      <c r="AJ92" s="33" t="s">
        <v>1006</v>
      </c>
      <c r="AK92" s="33" t="s">
        <v>1008</v>
      </c>
    </row>
    <row r="93" spans="1:37" ht="138.75" customHeight="1" x14ac:dyDescent="0.2">
      <c r="A93" s="8" t="s">
        <v>39</v>
      </c>
      <c r="B93" s="9">
        <v>11002</v>
      </c>
      <c r="C93" s="9" t="s">
        <v>756</v>
      </c>
      <c r="D93" s="10">
        <v>41893</v>
      </c>
      <c r="E93" s="9" t="s">
        <v>54</v>
      </c>
      <c r="F93" s="9" t="s">
        <v>55</v>
      </c>
      <c r="G93" s="9" t="s">
        <v>56</v>
      </c>
      <c r="H93" s="9" t="s">
        <v>23</v>
      </c>
      <c r="I93" s="9" t="s">
        <v>57</v>
      </c>
      <c r="J93" s="9">
        <v>70287818</v>
      </c>
      <c r="K93" s="9" t="s">
        <v>58</v>
      </c>
      <c r="L93" s="9" t="s">
        <v>59</v>
      </c>
      <c r="M93" s="9" t="s">
        <v>22</v>
      </c>
      <c r="N93" s="9"/>
      <c r="O93" s="9" t="s">
        <v>326</v>
      </c>
      <c r="P93" s="9"/>
      <c r="Q93" s="9" t="str">
        <f t="shared" si="4"/>
        <v>SI</v>
      </c>
      <c r="R93" s="12" t="s">
        <v>366</v>
      </c>
      <c r="S93" s="13" t="s">
        <v>374</v>
      </c>
      <c r="T93" s="24">
        <v>42051</v>
      </c>
      <c r="U93" s="24"/>
      <c r="V93" s="11"/>
      <c r="W93" s="12" t="s">
        <v>189</v>
      </c>
      <c r="X93" s="12"/>
      <c r="Y93" s="12"/>
      <c r="Z93" s="12" t="s">
        <v>382</v>
      </c>
      <c r="AA93" s="12"/>
      <c r="AB93" s="12"/>
      <c r="AC93" s="12"/>
      <c r="AD93" s="12"/>
      <c r="AE93" s="12"/>
      <c r="AF93" s="12"/>
      <c r="AG93" s="12"/>
      <c r="AH93" s="32" t="str">
        <f t="shared" si="3"/>
        <v>R</v>
      </c>
    </row>
    <row r="94" spans="1:37" ht="409.5" customHeight="1" x14ac:dyDescent="0.2">
      <c r="A94" s="8" t="s">
        <v>60</v>
      </c>
      <c r="B94" s="9">
        <v>2012</v>
      </c>
      <c r="C94" s="9" t="s">
        <v>749</v>
      </c>
      <c r="D94" s="10">
        <v>41887</v>
      </c>
      <c r="E94" s="9" t="s">
        <v>15</v>
      </c>
      <c r="F94" s="9" t="s">
        <v>61</v>
      </c>
      <c r="G94" s="9" t="s">
        <v>62</v>
      </c>
      <c r="H94" s="9" t="s">
        <v>18</v>
      </c>
      <c r="I94" s="9" t="s">
        <v>63</v>
      </c>
      <c r="J94" s="9">
        <v>70135709</v>
      </c>
      <c r="K94" s="9" t="s">
        <v>43</v>
      </c>
      <c r="L94" s="9" t="s">
        <v>64</v>
      </c>
      <c r="M94" s="9" t="s">
        <v>22</v>
      </c>
      <c r="N94" s="8"/>
      <c r="O94" s="9" t="s">
        <v>315</v>
      </c>
      <c r="P94" s="9"/>
      <c r="Q94" s="9" t="str">
        <f t="shared" si="4"/>
        <v>SI</v>
      </c>
      <c r="R94" s="8" t="s">
        <v>190</v>
      </c>
      <c r="S94" s="14" t="s">
        <v>191</v>
      </c>
      <c r="T94" s="24">
        <v>42073</v>
      </c>
      <c r="U94" s="24"/>
      <c r="V94" s="11" t="s">
        <v>803</v>
      </c>
      <c r="W94" s="8" t="s">
        <v>192</v>
      </c>
      <c r="X94" s="8"/>
      <c r="Y94" s="8"/>
      <c r="Z94" s="8"/>
      <c r="AA94" s="8" t="s">
        <v>454</v>
      </c>
      <c r="AB94" s="8"/>
      <c r="AC94" s="8" t="s">
        <v>943</v>
      </c>
      <c r="AD94" s="8"/>
      <c r="AE94" s="8"/>
      <c r="AF94" s="8"/>
      <c r="AG94" s="8"/>
      <c r="AH94" s="32" t="str">
        <f t="shared" si="3"/>
        <v>A</v>
      </c>
    </row>
    <row r="95" spans="1:37" ht="202.5" customHeight="1" x14ac:dyDescent="0.2">
      <c r="A95" s="8" t="s">
        <v>60</v>
      </c>
      <c r="B95" s="9">
        <v>2013</v>
      </c>
      <c r="C95" s="9" t="s">
        <v>749</v>
      </c>
      <c r="D95" s="10">
        <v>41887</v>
      </c>
      <c r="E95" s="9" t="s">
        <v>15</v>
      </c>
      <c r="F95" s="9" t="s">
        <v>61</v>
      </c>
      <c r="G95" s="9" t="s">
        <v>23</v>
      </c>
      <c r="H95" s="9" t="s">
        <v>65</v>
      </c>
      <c r="I95" s="9" t="s">
        <v>66</v>
      </c>
      <c r="J95" s="9">
        <v>8013426</v>
      </c>
      <c r="K95" s="9" t="s">
        <v>67</v>
      </c>
      <c r="L95" s="9" t="s">
        <v>68</v>
      </c>
      <c r="M95" s="9" t="s">
        <v>22</v>
      </c>
      <c r="N95" s="8"/>
      <c r="O95" s="9" t="s">
        <v>320</v>
      </c>
      <c r="P95" s="9"/>
      <c r="Q95" s="9" t="str">
        <f t="shared" si="4"/>
        <v>SI</v>
      </c>
      <c r="R95" s="8" t="s">
        <v>193</v>
      </c>
      <c r="S95" s="14">
        <v>41931</v>
      </c>
      <c r="T95" s="24">
        <v>42055</v>
      </c>
      <c r="U95" s="24"/>
      <c r="V95" s="11" t="s">
        <v>804</v>
      </c>
      <c r="W95" s="8" t="s">
        <v>286</v>
      </c>
      <c r="X95" s="8"/>
      <c r="Y95" s="8"/>
      <c r="Z95" s="8"/>
      <c r="AA95" s="8" t="s">
        <v>462</v>
      </c>
      <c r="AB95" s="8"/>
      <c r="AC95" s="8"/>
      <c r="AD95" s="8"/>
      <c r="AE95" s="8"/>
      <c r="AF95" s="8"/>
      <c r="AG95" s="8"/>
      <c r="AH95" s="32" t="str">
        <f t="shared" si="3"/>
        <v>Resuelto</v>
      </c>
    </row>
    <row r="96" spans="1:37" ht="146.25" customHeight="1" x14ac:dyDescent="0.2">
      <c r="A96" s="8" t="s">
        <v>60</v>
      </c>
      <c r="B96" s="9">
        <v>4012</v>
      </c>
      <c r="C96" s="9" t="s">
        <v>751</v>
      </c>
      <c r="D96" s="10">
        <v>41900</v>
      </c>
      <c r="E96" s="9" t="s">
        <v>24</v>
      </c>
      <c r="F96" s="9" t="s">
        <v>32</v>
      </c>
      <c r="G96" s="9" t="s">
        <v>33</v>
      </c>
      <c r="H96" s="9" t="s">
        <v>18</v>
      </c>
      <c r="I96" s="9" t="s">
        <v>69</v>
      </c>
      <c r="J96" s="9">
        <v>22119226</v>
      </c>
      <c r="K96" s="9" t="s">
        <v>20</v>
      </c>
      <c r="L96" s="9" t="s">
        <v>391</v>
      </c>
      <c r="M96" s="9" t="s">
        <v>22</v>
      </c>
      <c r="N96" s="8"/>
      <c r="O96" s="9" t="s">
        <v>315</v>
      </c>
      <c r="P96" s="9"/>
      <c r="Q96" s="9" t="str">
        <f t="shared" si="4"/>
        <v>SI</v>
      </c>
      <c r="R96" s="8" t="s">
        <v>194</v>
      </c>
      <c r="S96" s="14">
        <v>41932</v>
      </c>
      <c r="T96" s="23">
        <v>42062</v>
      </c>
      <c r="U96" s="23"/>
      <c r="V96" s="11" t="s">
        <v>805</v>
      </c>
      <c r="W96" s="8" t="s">
        <v>195</v>
      </c>
      <c r="X96" s="8"/>
      <c r="Y96" s="8"/>
      <c r="Z96" s="8"/>
      <c r="AA96" s="8" t="s">
        <v>455</v>
      </c>
      <c r="AB96" s="8" t="s">
        <v>875</v>
      </c>
      <c r="AC96" s="8"/>
      <c r="AD96" s="8"/>
      <c r="AE96" s="8"/>
      <c r="AF96" s="8"/>
      <c r="AG96" s="8"/>
      <c r="AH96" s="32" t="str">
        <f t="shared" si="3"/>
        <v>R</v>
      </c>
    </row>
    <row r="97" spans="1:38" ht="90" customHeight="1" x14ac:dyDescent="0.2">
      <c r="A97" s="8" t="s">
        <v>60</v>
      </c>
      <c r="B97" s="9">
        <v>5007</v>
      </c>
      <c r="C97" s="9" t="s">
        <v>512</v>
      </c>
      <c r="D97" s="10">
        <v>41900</v>
      </c>
      <c r="E97" s="9" t="s">
        <v>54</v>
      </c>
      <c r="F97" s="9" t="s">
        <v>70</v>
      </c>
      <c r="G97" s="9" t="s">
        <v>71</v>
      </c>
      <c r="H97" s="9" t="s">
        <v>18</v>
      </c>
      <c r="I97" s="9" t="s">
        <v>72</v>
      </c>
      <c r="J97" s="9">
        <v>15453059</v>
      </c>
      <c r="K97" s="9" t="s">
        <v>43</v>
      </c>
      <c r="L97" s="9" t="s">
        <v>73</v>
      </c>
      <c r="M97" s="9" t="s">
        <v>22</v>
      </c>
      <c r="N97" s="8"/>
      <c r="O97" s="9" t="s">
        <v>315</v>
      </c>
      <c r="P97" s="9"/>
      <c r="Q97" s="9" t="str">
        <f t="shared" si="4"/>
        <v>SI</v>
      </c>
      <c r="R97" s="12" t="s">
        <v>366</v>
      </c>
      <c r="S97" s="11" t="s">
        <v>375</v>
      </c>
      <c r="T97" s="24">
        <v>42069</v>
      </c>
      <c r="U97" s="24"/>
      <c r="V97" s="11" t="s">
        <v>806</v>
      </c>
      <c r="W97" s="8" t="s">
        <v>197</v>
      </c>
      <c r="X97" s="8"/>
      <c r="Y97" s="8"/>
      <c r="Z97" s="8" t="s">
        <v>365</v>
      </c>
      <c r="AA97" s="8"/>
      <c r="AB97" s="8" t="s">
        <v>852</v>
      </c>
      <c r="AC97" s="8" t="s">
        <v>920</v>
      </c>
      <c r="AD97" s="8"/>
      <c r="AE97" s="8"/>
      <c r="AF97" s="8"/>
      <c r="AG97" s="8"/>
      <c r="AH97" s="32" t="str">
        <f t="shared" si="3"/>
        <v>R</v>
      </c>
    </row>
    <row r="98" spans="1:38" ht="101.25" customHeight="1" x14ac:dyDescent="0.2">
      <c r="A98" s="8" t="s">
        <v>60</v>
      </c>
      <c r="B98" s="9">
        <v>5011</v>
      </c>
      <c r="C98" s="9" t="s">
        <v>512</v>
      </c>
      <c r="D98" s="10">
        <v>41900</v>
      </c>
      <c r="E98" s="9" t="s">
        <v>54</v>
      </c>
      <c r="F98" s="9" t="s">
        <v>74</v>
      </c>
      <c r="G98" s="9" t="s">
        <v>75</v>
      </c>
      <c r="H98" s="9" t="s">
        <v>18</v>
      </c>
      <c r="I98" s="9" t="s">
        <v>76</v>
      </c>
      <c r="J98" s="9">
        <v>70731222</v>
      </c>
      <c r="K98" s="9" t="s">
        <v>58</v>
      </c>
      <c r="L98" s="9" t="s">
        <v>77</v>
      </c>
      <c r="M98" s="9" t="s">
        <v>22</v>
      </c>
      <c r="N98" s="8"/>
      <c r="O98" s="9" t="s">
        <v>315</v>
      </c>
      <c r="P98" s="9"/>
      <c r="Q98" s="9" t="str">
        <f t="shared" si="4"/>
        <v>SI</v>
      </c>
      <c r="R98" s="8" t="s">
        <v>196</v>
      </c>
      <c r="S98" s="11">
        <v>41920</v>
      </c>
      <c r="T98" s="24">
        <v>42069</v>
      </c>
      <c r="U98" s="24"/>
      <c r="V98" s="11" t="s">
        <v>851</v>
      </c>
      <c r="W98" s="8" t="s">
        <v>198</v>
      </c>
      <c r="X98" s="8"/>
      <c r="Y98" s="8"/>
      <c r="Z98" s="8"/>
      <c r="AA98" s="8"/>
      <c r="AB98" s="8" t="s">
        <v>853</v>
      </c>
      <c r="AC98" s="8" t="s">
        <v>921</v>
      </c>
      <c r="AD98" s="8"/>
      <c r="AE98" s="8"/>
      <c r="AF98" s="8"/>
      <c r="AG98" s="8"/>
      <c r="AH98" s="32" t="str">
        <f t="shared" ref="AH98:AH129" si="5">IF(O98="Por iniciar","Por iniciar",(IF(O98&lt;&gt;"Resuelto",IF($AI$1-T98&lt;8,"V",IF($AI$1-T98&lt;15,"A","R")),"Resuelto")))</f>
        <v>R</v>
      </c>
    </row>
    <row r="99" spans="1:38" ht="45" customHeight="1" x14ac:dyDescent="0.2">
      <c r="A99" s="8" t="s">
        <v>60</v>
      </c>
      <c r="B99" s="9">
        <v>11003</v>
      </c>
      <c r="C99" s="9" t="s">
        <v>756</v>
      </c>
      <c r="D99" s="10">
        <v>41901</v>
      </c>
      <c r="E99" s="9" t="s">
        <v>54</v>
      </c>
      <c r="F99" s="9" t="s">
        <v>78</v>
      </c>
      <c r="G99" s="9" t="s">
        <v>79</v>
      </c>
      <c r="H99" s="9" t="s">
        <v>18</v>
      </c>
      <c r="I99" s="9" t="s">
        <v>80</v>
      </c>
      <c r="J99" s="9">
        <v>25970476</v>
      </c>
      <c r="K99" s="9" t="s">
        <v>43</v>
      </c>
      <c r="L99" s="9" t="s">
        <v>81</v>
      </c>
      <c r="M99" s="9" t="s">
        <v>22</v>
      </c>
      <c r="N99" s="8"/>
      <c r="O99" s="9" t="s">
        <v>320</v>
      </c>
      <c r="P99" s="9"/>
      <c r="Q99" s="9" t="str">
        <f t="shared" si="4"/>
        <v>SI</v>
      </c>
      <c r="R99" s="8" t="s">
        <v>199</v>
      </c>
      <c r="S99" s="11" t="s">
        <v>200</v>
      </c>
      <c r="T99" s="24">
        <v>42051</v>
      </c>
      <c r="U99" s="24"/>
      <c r="V99" s="11"/>
      <c r="W99" s="8" t="s">
        <v>201</v>
      </c>
      <c r="X99" s="8"/>
      <c r="Y99" s="8"/>
      <c r="Z99" s="8" t="s">
        <v>383</v>
      </c>
      <c r="AA99" s="8"/>
      <c r="AB99" s="8"/>
      <c r="AC99" s="8"/>
      <c r="AD99" s="8"/>
      <c r="AE99" s="8"/>
      <c r="AF99" s="8"/>
      <c r="AG99" s="8"/>
      <c r="AH99" s="32" t="str">
        <f t="shared" si="5"/>
        <v>Resuelto</v>
      </c>
      <c r="AJ99" s="33" t="s">
        <v>1006</v>
      </c>
    </row>
    <row r="100" spans="1:38" ht="56.25" customHeight="1" x14ac:dyDescent="0.2">
      <c r="A100" s="8" t="s">
        <v>60</v>
      </c>
      <c r="B100" s="9">
        <v>11004</v>
      </c>
      <c r="C100" s="9" t="s">
        <v>756</v>
      </c>
      <c r="D100" s="10">
        <v>41900</v>
      </c>
      <c r="E100" s="9" t="s">
        <v>54</v>
      </c>
      <c r="F100" s="9" t="s">
        <v>82</v>
      </c>
      <c r="G100" s="9" t="s">
        <v>83</v>
      </c>
      <c r="H100" s="9" t="s">
        <v>18</v>
      </c>
      <c r="I100" s="9" t="s">
        <v>84</v>
      </c>
      <c r="J100" s="9">
        <v>70381743</v>
      </c>
      <c r="K100" s="9" t="s">
        <v>58</v>
      </c>
      <c r="L100" s="9" t="s">
        <v>85</v>
      </c>
      <c r="M100" s="9" t="s">
        <v>22</v>
      </c>
      <c r="N100" s="8"/>
      <c r="O100" s="9" t="s">
        <v>320</v>
      </c>
      <c r="P100" s="9"/>
      <c r="Q100" s="9" t="str">
        <f t="shared" si="4"/>
        <v>SI</v>
      </c>
      <c r="R100" s="8" t="s">
        <v>202</v>
      </c>
      <c r="S100" s="11" t="s">
        <v>203</v>
      </c>
      <c r="T100" s="24">
        <v>42051</v>
      </c>
      <c r="U100" s="24"/>
      <c r="V100" s="11"/>
      <c r="W100" s="8" t="s">
        <v>204</v>
      </c>
      <c r="X100" s="8"/>
      <c r="Y100" s="8"/>
      <c r="Z100" s="8" t="s">
        <v>384</v>
      </c>
      <c r="AA100" s="8"/>
      <c r="AB100" s="8"/>
      <c r="AC100" s="8"/>
      <c r="AD100" s="8"/>
      <c r="AE100" s="8"/>
      <c r="AF100" s="8"/>
      <c r="AG100" s="8"/>
      <c r="AH100" s="32" t="str">
        <f t="shared" si="5"/>
        <v>Resuelto</v>
      </c>
      <c r="AJ100" s="33" t="s">
        <v>1006</v>
      </c>
    </row>
    <row r="101" spans="1:38" ht="409.5" customHeight="1" x14ac:dyDescent="0.2">
      <c r="A101" s="8" t="s">
        <v>129</v>
      </c>
      <c r="B101" s="9">
        <v>2015</v>
      </c>
      <c r="C101" s="9" t="s">
        <v>749</v>
      </c>
      <c r="D101" s="10">
        <v>41948</v>
      </c>
      <c r="E101" s="9" t="s">
        <v>15</v>
      </c>
      <c r="F101" s="9" t="s">
        <v>119</v>
      </c>
      <c r="G101" s="9" t="s">
        <v>120</v>
      </c>
      <c r="H101" s="9" t="s">
        <v>18</v>
      </c>
      <c r="I101" s="9" t="s">
        <v>121</v>
      </c>
      <c r="J101" s="9">
        <v>39170237</v>
      </c>
      <c r="K101" s="9" t="s">
        <v>43</v>
      </c>
      <c r="L101" s="9" t="s">
        <v>122</v>
      </c>
      <c r="M101" s="9" t="s">
        <v>22</v>
      </c>
      <c r="N101" s="8" t="s">
        <v>23</v>
      </c>
      <c r="O101" s="9" t="s">
        <v>320</v>
      </c>
      <c r="P101" s="9"/>
      <c r="Q101" s="9" t="str">
        <f t="shared" si="4"/>
        <v>SI</v>
      </c>
      <c r="R101" s="12" t="s">
        <v>280</v>
      </c>
      <c r="S101" s="8" t="s">
        <v>281</v>
      </c>
      <c r="T101" s="23">
        <v>42041</v>
      </c>
      <c r="U101" s="23"/>
      <c r="V101" s="11" t="s">
        <v>807</v>
      </c>
      <c r="W101" s="8" t="s">
        <v>282</v>
      </c>
      <c r="X101" s="16" t="s">
        <v>324</v>
      </c>
      <c r="Y101" s="8"/>
      <c r="Z101" s="8"/>
      <c r="AA101" s="8" t="s">
        <v>510</v>
      </c>
      <c r="AB101" s="8"/>
      <c r="AC101" s="8"/>
      <c r="AD101" s="8"/>
      <c r="AE101" s="8"/>
      <c r="AF101" s="11" t="s">
        <v>283</v>
      </c>
      <c r="AG101" s="8"/>
      <c r="AH101" s="32" t="str">
        <f t="shared" si="5"/>
        <v>Resuelto</v>
      </c>
      <c r="AJ101" s="33" t="s">
        <v>1007</v>
      </c>
      <c r="AK101" s="33" t="s">
        <v>1008</v>
      </c>
    </row>
    <row r="102" spans="1:38" ht="168.75" customHeight="1" x14ac:dyDescent="0.2">
      <c r="A102" s="8" t="s">
        <v>226</v>
      </c>
      <c r="B102" s="9">
        <v>5008</v>
      </c>
      <c r="C102" s="9" t="s">
        <v>512</v>
      </c>
      <c r="D102" s="10">
        <v>41906</v>
      </c>
      <c r="E102" s="9" t="s">
        <v>54</v>
      </c>
      <c r="F102" s="9" t="s">
        <v>209</v>
      </c>
      <c r="G102" s="9" t="s">
        <v>210</v>
      </c>
      <c r="H102" s="9" t="s">
        <v>18</v>
      </c>
      <c r="I102" s="9" t="s">
        <v>211</v>
      </c>
      <c r="J102" s="9">
        <v>43868080</v>
      </c>
      <c r="K102" s="9" t="s">
        <v>20</v>
      </c>
      <c r="L102" s="9" t="s">
        <v>212</v>
      </c>
      <c r="M102" s="9" t="s">
        <v>22</v>
      </c>
      <c r="N102" s="8"/>
      <c r="O102" s="9" t="s">
        <v>315</v>
      </c>
      <c r="P102" s="9"/>
      <c r="Q102" s="9" t="str">
        <f t="shared" si="4"/>
        <v>SI</v>
      </c>
      <c r="R102" s="8" t="s">
        <v>188</v>
      </c>
      <c r="S102" s="11" t="s">
        <v>229</v>
      </c>
      <c r="T102" s="24">
        <v>42069</v>
      </c>
      <c r="U102" s="24"/>
      <c r="V102" s="11" t="s">
        <v>808</v>
      </c>
      <c r="W102" s="8" t="s">
        <v>230</v>
      </c>
      <c r="X102" s="8"/>
      <c r="Y102" s="8"/>
      <c r="Z102" s="8"/>
      <c r="AA102" s="8"/>
      <c r="AB102" s="8" t="s">
        <v>854</v>
      </c>
      <c r="AC102" s="8" t="s">
        <v>936</v>
      </c>
      <c r="AD102" s="8"/>
      <c r="AE102" s="8"/>
      <c r="AF102" s="8"/>
      <c r="AG102" s="8"/>
      <c r="AH102" s="32" t="str">
        <f t="shared" si="5"/>
        <v>R</v>
      </c>
    </row>
    <row r="103" spans="1:38" ht="135" customHeight="1" x14ac:dyDescent="0.2">
      <c r="A103" s="8" t="s">
        <v>226</v>
      </c>
      <c r="B103" s="9">
        <v>5009</v>
      </c>
      <c r="C103" s="9" t="s">
        <v>512</v>
      </c>
      <c r="D103" s="10">
        <v>41906</v>
      </c>
      <c r="E103" s="9" t="s">
        <v>54</v>
      </c>
      <c r="F103" s="9" t="s">
        <v>213</v>
      </c>
      <c r="G103" s="9" t="s">
        <v>210</v>
      </c>
      <c r="H103" s="9" t="s">
        <v>18</v>
      </c>
      <c r="I103" s="9" t="s">
        <v>214</v>
      </c>
      <c r="J103" s="9">
        <v>22029117</v>
      </c>
      <c r="K103" s="9" t="s">
        <v>92</v>
      </c>
      <c r="L103" s="9" t="s">
        <v>215</v>
      </c>
      <c r="M103" s="9" t="s">
        <v>29</v>
      </c>
      <c r="N103" s="8"/>
      <c r="O103" s="9" t="s">
        <v>315</v>
      </c>
      <c r="P103" s="9"/>
      <c r="Q103" s="9" t="str">
        <f t="shared" si="4"/>
        <v>SI</v>
      </c>
      <c r="R103" s="8" t="s">
        <v>188</v>
      </c>
      <c r="S103" s="11" t="s">
        <v>229</v>
      </c>
      <c r="T103" s="24">
        <v>42004</v>
      </c>
      <c r="U103" s="24"/>
      <c r="V103" s="11" t="s">
        <v>809</v>
      </c>
      <c r="W103" s="8" t="s">
        <v>231</v>
      </c>
      <c r="X103" s="8"/>
      <c r="Y103" s="8"/>
      <c r="Z103" s="8"/>
      <c r="AA103" s="8"/>
      <c r="AB103" s="8"/>
      <c r="AC103" s="8"/>
      <c r="AD103" s="8"/>
      <c r="AE103" s="8"/>
      <c r="AF103" s="8"/>
      <c r="AG103" s="8"/>
      <c r="AH103" s="32" t="str">
        <f t="shared" si="5"/>
        <v>R</v>
      </c>
    </row>
    <row r="104" spans="1:38" ht="258.75" customHeight="1" x14ac:dyDescent="0.2">
      <c r="A104" s="8" t="s">
        <v>226</v>
      </c>
      <c r="B104" s="9">
        <v>5010</v>
      </c>
      <c r="C104" s="9" t="s">
        <v>512</v>
      </c>
      <c r="D104" s="10">
        <v>41906</v>
      </c>
      <c r="E104" s="9" t="s">
        <v>54</v>
      </c>
      <c r="F104" s="9" t="s">
        <v>209</v>
      </c>
      <c r="G104" s="9" t="s">
        <v>210</v>
      </c>
      <c r="H104" s="9" t="s">
        <v>18</v>
      </c>
      <c r="I104" s="9" t="s">
        <v>216</v>
      </c>
      <c r="J104" s="9">
        <v>70900613</v>
      </c>
      <c r="K104" s="9" t="s">
        <v>20</v>
      </c>
      <c r="L104" s="9" t="s">
        <v>217</v>
      </c>
      <c r="M104" s="9" t="s">
        <v>22</v>
      </c>
      <c r="N104" s="8"/>
      <c r="O104" s="9" t="s">
        <v>320</v>
      </c>
      <c r="P104" s="9"/>
      <c r="Q104" s="9" t="str">
        <f t="shared" si="4"/>
        <v>SI</v>
      </c>
      <c r="R104" s="12" t="s">
        <v>366</v>
      </c>
      <c r="S104" s="11" t="s">
        <v>376</v>
      </c>
      <c r="T104" s="24">
        <v>42069</v>
      </c>
      <c r="U104" s="24"/>
      <c r="V104" s="11" t="s">
        <v>937</v>
      </c>
      <c r="W104" s="8" t="s">
        <v>232</v>
      </c>
      <c r="X104" s="8"/>
      <c r="Y104" s="8"/>
      <c r="Z104" s="8" t="s">
        <v>361</v>
      </c>
      <c r="AA104" s="8"/>
      <c r="AB104" s="8" t="s">
        <v>855</v>
      </c>
      <c r="AC104" s="8"/>
      <c r="AD104" s="8"/>
      <c r="AE104" s="8"/>
      <c r="AF104" s="8"/>
      <c r="AG104" s="8"/>
      <c r="AH104" s="32" t="str">
        <f t="shared" si="5"/>
        <v>Resuelto</v>
      </c>
    </row>
    <row r="105" spans="1:38" ht="101.25" customHeight="1" x14ac:dyDescent="0.2">
      <c r="A105" s="8" t="s">
        <v>226</v>
      </c>
      <c r="B105" s="9">
        <v>8022</v>
      </c>
      <c r="C105" s="9" t="s">
        <v>753</v>
      </c>
      <c r="D105" s="10">
        <v>41906</v>
      </c>
      <c r="E105" s="9" t="s">
        <v>45</v>
      </c>
      <c r="F105" s="9" t="s">
        <v>218</v>
      </c>
      <c r="G105" s="9" t="s">
        <v>219</v>
      </c>
      <c r="H105" s="9" t="s">
        <v>18</v>
      </c>
      <c r="I105" s="9" t="s">
        <v>220</v>
      </c>
      <c r="J105" s="9">
        <v>3400320</v>
      </c>
      <c r="K105" s="9" t="s">
        <v>43</v>
      </c>
      <c r="L105" s="9" t="s">
        <v>221</v>
      </c>
      <c r="M105" s="9" t="s">
        <v>29</v>
      </c>
      <c r="N105" s="8"/>
      <c r="O105" s="9" t="s">
        <v>320</v>
      </c>
      <c r="P105" s="9"/>
      <c r="Q105" s="9" t="str">
        <f t="shared" si="4"/>
        <v>SI</v>
      </c>
      <c r="R105" s="8" t="s">
        <v>354</v>
      </c>
      <c r="S105" s="11" t="s">
        <v>377</v>
      </c>
      <c r="T105" s="23">
        <v>42054</v>
      </c>
      <c r="U105" s="23"/>
      <c r="V105" s="11" t="s">
        <v>810</v>
      </c>
      <c r="W105" s="8" t="s">
        <v>233</v>
      </c>
      <c r="X105" s="8"/>
      <c r="Y105" s="8"/>
      <c r="Z105" s="8" t="s">
        <v>332</v>
      </c>
      <c r="AA105" s="8" t="s">
        <v>448</v>
      </c>
      <c r="AB105" s="8"/>
      <c r="AC105" s="8"/>
      <c r="AD105" s="8"/>
      <c r="AE105" s="8"/>
      <c r="AF105" s="8"/>
      <c r="AG105" s="8"/>
      <c r="AH105" s="32" t="str">
        <f t="shared" si="5"/>
        <v>Resuelto</v>
      </c>
      <c r="AJ105" s="33" t="s">
        <v>1007</v>
      </c>
      <c r="AK105" s="33" t="s">
        <v>1008</v>
      </c>
    </row>
    <row r="106" spans="1:38" ht="168.75" customHeight="1" x14ac:dyDescent="0.2">
      <c r="A106" s="8" t="s">
        <v>226</v>
      </c>
      <c r="B106" s="9">
        <v>9003</v>
      </c>
      <c r="C106" s="9" t="s">
        <v>754</v>
      </c>
      <c r="D106" s="10">
        <v>41904</v>
      </c>
      <c r="E106" s="9" t="s">
        <v>96</v>
      </c>
      <c r="F106" s="9" t="s">
        <v>222</v>
      </c>
      <c r="G106" s="9" t="s">
        <v>23</v>
      </c>
      <c r="H106" s="9" t="s">
        <v>65</v>
      </c>
      <c r="I106" s="9" t="s">
        <v>223</v>
      </c>
      <c r="J106" s="9">
        <v>79880044</v>
      </c>
      <c r="K106" s="9" t="s">
        <v>58</v>
      </c>
      <c r="L106" s="9" t="s">
        <v>224</v>
      </c>
      <c r="M106" s="9" t="s">
        <v>225</v>
      </c>
      <c r="N106" s="8"/>
      <c r="O106" s="9" t="s">
        <v>320</v>
      </c>
      <c r="P106" s="9"/>
      <c r="Q106" s="9" t="str">
        <f t="shared" si="4"/>
        <v>SI</v>
      </c>
      <c r="R106" s="8" t="s">
        <v>234</v>
      </c>
      <c r="S106" s="11" t="s">
        <v>235</v>
      </c>
      <c r="T106" s="23">
        <v>42053</v>
      </c>
      <c r="U106" s="23"/>
      <c r="V106" s="11" t="s">
        <v>811</v>
      </c>
      <c r="W106" s="8" t="s">
        <v>236</v>
      </c>
      <c r="X106" s="8"/>
      <c r="Y106" s="8"/>
      <c r="Z106" s="8"/>
      <c r="AA106" s="8" t="s">
        <v>458</v>
      </c>
      <c r="AB106" s="8" t="s">
        <v>519</v>
      </c>
      <c r="AC106" s="8"/>
      <c r="AD106" s="8"/>
      <c r="AE106" s="8"/>
      <c r="AF106" s="8"/>
      <c r="AG106" s="8"/>
      <c r="AH106" s="32" t="str">
        <f t="shared" si="5"/>
        <v>Resuelto</v>
      </c>
    </row>
    <row r="107" spans="1:38" ht="67.5" customHeight="1" x14ac:dyDescent="0.2">
      <c r="A107" s="8" t="s">
        <v>255</v>
      </c>
      <c r="B107" s="9">
        <v>7018</v>
      </c>
      <c r="C107" s="9" t="s">
        <v>752</v>
      </c>
      <c r="D107" s="10">
        <v>41916</v>
      </c>
      <c r="E107" s="9" t="s">
        <v>45</v>
      </c>
      <c r="F107" s="9" t="s">
        <v>237</v>
      </c>
      <c r="G107" s="9" t="s">
        <v>238</v>
      </c>
      <c r="H107" s="9" t="s">
        <v>18</v>
      </c>
      <c r="I107" s="9" t="s">
        <v>241</v>
      </c>
      <c r="J107" s="9">
        <v>21617545</v>
      </c>
      <c r="K107" s="9"/>
      <c r="L107" s="9" t="s">
        <v>242</v>
      </c>
      <c r="M107" s="9" t="s">
        <v>22</v>
      </c>
      <c r="N107" s="8"/>
      <c r="O107" s="9" t="s">
        <v>315</v>
      </c>
      <c r="P107" s="9"/>
      <c r="Q107" s="9" t="str">
        <f t="shared" si="4"/>
        <v>SI</v>
      </c>
      <c r="R107" s="12" t="s">
        <v>248</v>
      </c>
      <c r="S107" s="13" t="s">
        <v>378</v>
      </c>
      <c r="T107" s="11">
        <v>42069</v>
      </c>
      <c r="U107" s="24"/>
      <c r="V107" s="11" t="s">
        <v>812</v>
      </c>
      <c r="W107" s="12" t="s">
        <v>249</v>
      </c>
      <c r="X107" s="12"/>
      <c r="Y107" s="12"/>
      <c r="Z107" s="8" t="s">
        <v>333</v>
      </c>
      <c r="AA107" s="8"/>
      <c r="AB107" s="8" t="s">
        <v>773</v>
      </c>
      <c r="AC107" s="8" t="s">
        <v>919</v>
      </c>
      <c r="AD107" s="8"/>
      <c r="AE107" s="8"/>
      <c r="AF107" s="8"/>
      <c r="AG107" s="8"/>
      <c r="AH107" s="32" t="str">
        <f t="shared" si="5"/>
        <v>R</v>
      </c>
      <c r="AL107" s="33"/>
    </row>
    <row r="108" spans="1:38" ht="225" customHeight="1" x14ac:dyDescent="0.2">
      <c r="A108" s="8" t="s">
        <v>255</v>
      </c>
      <c r="B108" s="9">
        <v>8023</v>
      </c>
      <c r="C108" s="9" t="s">
        <v>753</v>
      </c>
      <c r="D108" s="10">
        <v>41914</v>
      </c>
      <c r="E108" s="9" t="s">
        <v>45</v>
      </c>
      <c r="F108" s="9" t="s">
        <v>95</v>
      </c>
      <c r="G108" s="9" t="s">
        <v>23</v>
      </c>
      <c r="H108" s="9" t="s">
        <v>23</v>
      </c>
      <c r="I108" s="9" t="s">
        <v>243</v>
      </c>
      <c r="J108" s="9">
        <v>79810241</v>
      </c>
      <c r="K108" s="9" t="s">
        <v>43</v>
      </c>
      <c r="L108" s="9" t="s">
        <v>244</v>
      </c>
      <c r="M108" s="9" t="s">
        <v>22</v>
      </c>
      <c r="N108" s="8"/>
      <c r="O108" s="9" t="s">
        <v>320</v>
      </c>
      <c r="P108" s="9"/>
      <c r="Q108" s="9" t="str">
        <f t="shared" si="4"/>
        <v>SI</v>
      </c>
      <c r="R108" s="12" t="s">
        <v>460</v>
      </c>
      <c r="S108" s="13" t="s">
        <v>378</v>
      </c>
      <c r="T108" s="24">
        <v>42052</v>
      </c>
      <c r="U108" s="24"/>
      <c r="V108" s="11" t="s">
        <v>813</v>
      </c>
      <c r="W108" s="12" t="s">
        <v>250</v>
      </c>
      <c r="X108" s="12"/>
      <c r="Y108" s="12"/>
      <c r="Z108" s="8" t="s">
        <v>380</v>
      </c>
      <c r="AA108" s="8" t="s">
        <v>479</v>
      </c>
      <c r="AB108" s="8"/>
      <c r="AC108" s="8"/>
      <c r="AD108" s="8"/>
      <c r="AE108" s="8"/>
      <c r="AF108" s="8"/>
      <c r="AG108" s="8"/>
      <c r="AH108" s="32" t="str">
        <f t="shared" si="5"/>
        <v>Resuelto</v>
      </c>
      <c r="AJ108" s="33" t="s">
        <v>1006</v>
      </c>
    </row>
    <row r="109" spans="1:38" ht="153.75" customHeight="1" x14ac:dyDescent="0.2">
      <c r="A109" s="8" t="s">
        <v>255</v>
      </c>
      <c r="B109" s="9">
        <v>8024</v>
      </c>
      <c r="C109" s="9" t="s">
        <v>753</v>
      </c>
      <c r="D109" s="10">
        <v>41914</v>
      </c>
      <c r="E109" s="9" t="s">
        <v>45</v>
      </c>
      <c r="F109" s="9" t="s">
        <v>95</v>
      </c>
      <c r="G109" s="9" t="s">
        <v>23</v>
      </c>
      <c r="H109" s="9" t="s">
        <v>23</v>
      </c>
      <c r="I109" s="9" t="s">
        <v>245</v>
      </c>
      <c r="J109" s="9">
        <v>3475409</v>
      </c>
      <c r="K109" s="9" t="s">
        <v>58</v>
      </c>
      <c r="L109" s="9" t="s">
        <v>287</v>
      </c>
      <c r="M109" s="9" t="s">
        <v>22</v>
      </c>
      <c r="N109" s="8"/>
      <c r="O109" s="9" t="s">
        <v>320</v>
      </c>
      <c r="P109" s="9"/>
      <c r="Q109" s="9" t="str">
        <f t="shared" si="4"/>
        <v>SI</v>
      </c>
      <c r="R109" s="12" t="s">
        <v>251</v>
      </c>
      <c r="S109" s="13">
        <v>41932</v>
      </c>
      <c r="T109" s="23">
        <v>42054</v>
      </c>
      <c r="U109" s="23"/>
      <c r="V109" s="11" t="s">
        <v>814</v>
      </c>
      <c r="W109" s="12" t="s">
        <v>252</v>
      </c>
      <c r="X109" s="12"/>
      <c r="Y109" s="12"/>
      <c r="Z109" s="12"/>
      <c r="AA109" s="12" t="s">
        <v>456</v>
      </c>
      <c r="AB109" s="12"/>
      <c r="AC109" s="12"/>
      <c r="AD109" s="12"/>
      <c r="AE109" s="12"/>
      <c r="AF109" s="8"/>
      <c r="AG109" s="8"/>
      <c r="AH109" s="32" t="str">
        <f t="shared" si="5"/>
        <v>Resuelto</v>
      </c>
      <c r="AJ109" s="33" t="s">
        <v>1009</v>
      </c>
      <c r="AK109" s="33" t="s">
        <v>1008</v>
      </c>
    </row>
    <row r="110" spans="1:38" ht="90" customHeight="1" x14ac:dyDescent="0.2">
      <c r="A110" s="8" t="s">
        <v>255</v>
      </c>
      <c r="B110" s="9">
        <v>11005</v>
      </c>
      <c r="C110" s="9" t="s">
        <v>756</v>
      </c>
      <c r="D110" s="10">
        <v>41909</v>
      </c>
      <c r="E110" s="9" t="s">
        <v>54</v>
      </c>
      <c r="F110" s="9" t="s">
        <v>239</v>
      </c>
      <c r="G110" s="9" t="s">
        <v>240</v>
      </c>
      <c r="H110" s="9" t="s">
        <v>18</v>
      </c>
      <c r="I110" s="9" t="s">
        <v>246</v>
      </c>
      <c r="J110" s="9">
        <v>43595002</v>
      </c>
      <c r="K110" s="9" t="s">
        <v>67</v>
      </c>
      <c r="L110" s="9" t="s">
        <v>247</v>
      </c>
      <c r="M110" s="9" t="s">
        <v>22</v>
      </c>
      <c r="N110" s="8"/>
      <c r="O110" s="9" t="s">
        <v>320</v>
      </c>
      <c r="P110" s="9"/>
      <c r="Q110" s="9" t="str">
        <f t="shared" si="4"/>
        <v>SI</v>
      </c>
      <c r="R110" s="8" t="s">
        <v>253</v>
      </c>
      <c r="S110" s="11">
        <v>41932</v>
      </c>
      <c r="T110" s="24">
        <v>42051</v>
      </c>
      <c r="U110" s="24"/>
      <c r="V110" s="11"/>
      <c r="W110" s="8" t="s">
        <v>254</v>
      </c>
      <c r="X110" s="8"/>
      <c r="Y110" s="8"/>
      <c r="Z110" s="8" t="s">
        <v>385</v>
      </c>
      <c r="AA110" s="8"/>
      <c r="AB110" s="8"/>
      <c r="AC110" s="8"/>
      <c r="AD110" s="8"/>
      <c r="AE110" s="8"/>
      <c r="AF110" s="8"/>
      <c r="AG110" s="8"/>
      <c r="AH110" s="32" t="str">
        <f t="shared" si="5"/>
        <v>Resuelto</v>
      </c>
      <c r="AJ110" s="33" t="s">
        <v>1006</v>
      </c>
    </row>
    <row r="111" spans="1:38" ht="168.75" customHeight="1" x14ac:dyDescent="0.2">
      <c r="A111" s="8" t="s">
        <v>260</v>
      </c>
      <c r="B111" s="9">
        <v>5012</v>
      </c>
      <c r="C111" s="9" t="s">
        <v>512</v>
      </c>
      <c r="D111" s="10">
        <v>41921</v>
      </c>
      <c r="E111" s="9" t="s">
        <v>54</v>
      </c>
      <c r="F111" s="9" t="s">
        <v>213</v>
      </c>
      <c r="G111" s="9" t="s">
        <v>210</v>
      </c>
      <c r="H111" s="9" t="s">
        <v>18</v>
      </c>
      <c r="I111" s="9" t="s">
        <v>256</v>
      </c>
      <c r="J111" s="9">
        <v>70952891</v>
      </c>
      <c r="K111" s="9" t="s">
        <v>20</v>
      </c>
      <c r="L111" s="9" t="s">
        <v>257</v>
      </c>
      <c r="M111" s="9" t="s">
        <v>22</v>
      </c>
      <c r="N111" s="8"/>
      <c r="O111" s="9" t="s">
        <v>320</v>
      </c>
      <c r="P111" s="9"/>
      <c r="Q111" s="9" t="str">
        <f t="shared" si="4"/>
        <v>SI</v>
      </c>
      <c r="R111" s="12" t="s">
        <v>366</v>
      </c>
      <c r="S111" s="11">
        <v>42260</v>
      </c>
      <c r="T111" s="24">
        <v>42048</v>
      </c>
      <c r="U111" s="24"/>
      <c r="V111" s="11" t="s">
        <v>815</v>
      </c>
      <c r="W111" s="8"/>
      <c r="X111" s="8"/>
      <c r="Y111" s="8"/>
      <c r="Z111" s="8" t="s">
        <v>361</v>
      </c>
      <c r="AA111" s="8"/>
      <c r="AB111" s="8"/>
      <c r="AC111" s="8"/>
      <c r="AD111" s="8"/>
      <c r="AE111" s="8"/>
      <c r="AF111" s="8"/>
      <c r="AG111" s="8"/>
      <c r="AH111" s="32" t="str">
        <f t="shared" si="5"/>
        <v>Resuelto</v>
      </c>
    </row>
    <row r="112" spans="1:38" ht="67.5" customHeight="1" x14ac:dyDescent="0.2">
      <c r="A112" s="8" t="s">
        <v>260</v>
      </c>
      <c r="B112" s="9">
        <v>5013</v>
      </c>
      <c r="C112" s="9" t="s">
        <v>512</v>
      </c>
      <c r="D112" s="10">
        <v>41925</v>
      </c>
      <c r="E112" s="9" t="s">
        <v>54</v>
      </c>
      <c r="F112" s="9" t="s">
        <v>209</v>
      </c>
      <c r="G112" s="9" t="s">
        <v>210</v>
      </c>
      <c r="H112" s="9" t="s">
        <v>18</v>
      </c>
      <c r="I112" s="9" t="s">
        <v>258</v>
      </c>
      <c r="J112" s="9">
        <v>1038407160</v>
      </c>
      <c r="K112" s="9" t="s">
        <v>20</v>
      </c>
      <c r="L112" s="9" t="s">
        <v>259</v>
      </c>
      <c r="M112" s="9" t="s">
        <v>22</v>
      </c>
      <c r="N112" s="8"/>
      <c r="O112" s="9" t="s">
        <v>320</v>
      </c>
      <c r="P112" s="9"/>
      <c r="Q112" s="9" t="str">
        <f t="shared" si="4"/>
        <v>SI</v>
      </c>
      <c r="R112" s="12" t="s">
        <v>366</v>
      </c>
      <c r="S112" s="11">
        <v>42260</v>
      </c>
      <c r="T112" s="24">
        <v>42061</v>
      </c>
      <c r="U112" s="24"/>
      <c r="V112" s="11" t="s">
        <v>816</v>
      </c>
      <c r="W112" s="8"/>
      <c r="X112" s="8"/>
      <c r="Y112" s="8"/>
      <c r="Z112" s="8" t="s">
        <v>360</v>
      </c>
      <c r="AA112" s="8"/>
      <c r="AB112" s="8" t="s">
        <v>855</v>
      </c>
      <c r="AC112" s="8"/>
      <c r="AD112" s="8"/>
      <c r="AE112" s="8"/>
      <c r="AF112" s="8"/>
      <c r="AG112" s="8"/>
      <c r="AH112" s="32" t="str">
        <f t="shared" si="5"/>
        <v>Resuelto</v>
      </c>
    </row>
    <row r="113" spans="1:38" ht="112.5" customHeight="1" x14ac:dyDescent="0.2">
      <c r="A113" s="8" t="s">
        <v>278</v>
      </c>
      <c r="B113" s="9">
        <v>4013</v>
      </c>
      <c r="C113" s="9" t="s">
        <v>751</v>
      </c>
      <c r="D113" s="15">
        <v>41929</v>
      </c>
      <c r="E113" s="9" t="s">
        <v>24</v>
      </c>
      <c r="F113" s="9" t="s">
        <v>261</v>
      </c>
      <c r="G113" s="9" t="s">
        <v>262</v>
      </c>
      <c r="H113" s="9" t="s">
        <v>18</v>
      </c>
      <c r="I113" s="9" t="s">
        <v>263</v>
      </c>
      <c r="J113" s="9">
        <v>71022757</v>
      </c>
      <c r="K113" s="9" t="s">
        <v>58</v>
      </c>
      <c r="L113" s="9" t="s">
        <v>264</v>
      </c>
      <c r="M113" s="9" t="s">
        <v>22</v>
      </c>
      <c r="N113" s="8"/>
      <c r="O113" s="9" t="s">
        <v>320</v>
      </c>
      <c r="P113" s="9"/>
      <c r="Q113" s="9" t="str">
        <f t="shared" si="4"/>
        <v>SI</v>
      </c>
      <c r="R113" s="8" t="s">
        <v>318</v>
      </c>
      <c r="S113" s="11">
        <v>42047</v>
      </c>
      <c r="T113" s="23">
        <v>42047</v>
      </c>
      <c r="U113" s="23"/>
      <c r="V113" s="11" t="s">
        <v>817</v>
      </c>
      <c r="W113" s="8"/>
      <c r="X113" s="8"/>
      <c r="Y113" s="8"/>
      <c r="Z113" s="8" t="s">
        <v>356</v>
      </c>
      <c r="AA113" s="8" t="s">
        <v>461</v>
      </c>
      <c r="AB113" s="8"/>
      <c r="AC113" s="8"/>
      <c r="AD113" s="8"/>
      <c r="AE113" s="8"/>
      <c r="AF113" s="8"/>
      <c r="AG113" s="8"/>
      <c r="AH113" s="32" t="str">
        <f t="shared" si="5"/>
        <v>Resuelto</v>
      </c>
      <c r="AJ113" s="33" t="s">
        <v>1006</v>
      </c>
    </row>
    <row r="114" spans="1:38" ht="112.5" customHeight="1" x14ac:dyDescent="0.2">
      <c r="A114" s="8" t="s">
        <v>278</v>
      </c>
      <c r="B114" s="9">
        <v>4014</v>
      </c>
      <c r="C114" s="9" t="s">
        <v>751</v>
      </c>
      <c r="D114" s="15">
        <v>41929</v>
      </c>
      <c r="E114" s="9" t="s">
        <v>24</v>
      </c>
      <c r="F114" s="9" t="s">
        <v>261</v>
      </c>
      <c r="G114" s="9" t="s">
        <v>262</v>
      </c>
      <c r="H114" s="9" t="s">
        <v>18</v>
      </c>
      <c r="I114" s="9" t="s">
        <v>265</v>
      </c>
      <c r="J114" s="9">
        <v>3481413</v>
      </c>
      <c r="K114" s="9" t="s">
        <v>20</v>
      </c>
      <c r="L114" s="9" t="s">
        <v>266</v>
      </c>
      <c r="M114" s="9" t="s">
        <v>22</v>
      </c>
      <c r="N114" s="8"/>
      <c r="O114" s="9" t="s">
        <v>320</v>
      </c>
      <c r="P114" s="9"/>
      <c r="Q114" s="9" t="str">
        <f t="shared" si="4"/>
        <v>SI</v>
      </c>
      <c r="R114" s="8" t="s">
        <v>318</v>
      </c>
      <c r="S114" s="11">
        <v>42047</v>
      </c>
      <c r="T114" s="23">
        <v>42047</v>
      </c>
      <c r="U114" s="23"/>
      <c r="V114" s="11" t="s">
        <v>818</v>
      </c>
      <c r="W114" s="8"/>
      <c r="X114" s="8"/>
      <c r="Y114" s="8"/>
      <c r="Z114" s="8" t="s">
        <v>357</v>
      </c>
      <c r="AA114" s="8" t="s">
        <v>461</v>
      </c>
      <c r="AB114" s="8"/>
      <c r="AC114" s="8"/>
      <c r="AD114" s="8"/>
      <c r="AE114" s="8"/>
      <c r="AF114" s="8"/>
      <c r="AG114" s="8"/>
      <c r="AH114" s="32" t="str">
        <f t="shared" si="5"/>
        <v>Resuelto</v>
      </c>
      <c r="AJ114" s="33" t="s">
        <v>1006</v>
      </c>
    </row>
    <row r="115" spans="1:38" ht="240" x14ac:dyDescent="0.2">
      <c r="A115" s="8" t="s">
        <v>278</v>
      </c>
      <c r="B115" s="9">
        <v>4015</v>
      </c>
      <c r="C115" s="9" t="s">
        <v>751</v>
      </c>
      <c r="D115" s="15">
        <v>41929</v>
      </c>
      <c r="E115" s="9" t="s">
        <v>24</v>
      </c>
      <c r="F115" s="9" t="s">
        <v>261</v>
      </c>
      <c r="G115" s="9" t="s">
        <v>262</v>
      </c>
      <c r="H115" s="9" t="s">
        <v>18</v>
      </c>
      <c r="I115" s="9" t="s">
        <v>267</v>
      </c>
      <c r="J115" s="9">
        <v>3481067</v>
      </c>
      <c r="K115" s="9" t="s">
        <v>43</v>
      </c>
      <c r="L115" s="9" t="s">
        <v>268</v>
      </c>
      <c r="M115" s="9" t="s">
        <v>22</v>
      </c>
      <c r="N115" s="8"/>
      <c r="O115" s="9" t="s">
        <v>320</v>
      </c>
      <c r="P115" s="9"/>
      <c r="Q115" s="9" t="str">
        <f t="shared" si="4"/>
        <v>SI</v>
      </c>
      <c r="R115" s="8" t="s">
        <v>318</v>
      </c>
      <c r="S115" s="23">
        <v>42047</v>
      </c>
      <c r="T115" s="23">
        <v>42060</v>
      </c>
      <c r="U115" s="23"/>
      <c r="V115" s="11" t="s">
        <v>819</v>
      </c>
      <c r="W115" s="8"/>
      <c r="X115" s="8"/>
      <c r="Y115" s="8"/>
      <c r="Z115" s="8" t="s">
        <v>358</v>
      </c>
      <c r="AA115" s="8" t="s">
        <v>435</v>
      </c>
      <c r="AB115" s="8" t="s">
        <v>877</v>
      </c>
      <c r="AC115" s="8"/>
      <c r="AD115" s="8"/>
      <c r="AE115" s="8"/>
      <c r="AF115" s="8"/>
      <c r="AG115" s="8"/>
      <c r="AH115" s="32" t="str">
        <f t="shared" si="5"/>
        <v>Resuelto</v>
      </c>
    </row>
    <row r="116" spans="1:38" ht="78.75" customHeight="1" x14ac:dyDescent="0.2">
      <c r="A116" s="8" t="s">
        <v>278</v>
      </c>
      <c r="B116" s="9">
        <v>4016</v>
      </c>
      <c r="C116" s="9" t="s">
        <v>751</v>
      </c>
      <c r="D116" s="15">
        <v>41929</v>
      </c>
      <c r="E116" s="9" t="s">
        <v>24</v>
      </c>
      <c r="F116" s="9" t="s">
        <v>261</v>
      </c>
      <c r="G116" s="9" t="s">
        <v>262</v>
      </c>
      <c r="H116" s="9" t="s">
        <v>18</v>
      </c>
      <c r="I116" s="9" t="s">
        <v>269</v>
      </c>
      <c r="J116" s="9">
        <v>70430903</v>
      </c>
      <c r="K116" s="9" t="s">
        <v>43</v>
      </c>
      <c r="L116" s="9" t="s">
        <v>270</v>
      </c>
      <c r="M116" s="9" t="s">
        <v>22</v>
      </c>
      <c r="N116" s="8"/>
      <c r="O116" s="9" t="s">
        <v>320</v>
      </c>
      <c r="P116" s="9"/>
      <c r="Q116" s="9" t="str">
        <f t="shared" si="4"/>
        <v>SI</v>
      </c>
      <c r="R116" s="8" t="s">
        <v>318</v>
      </c>
      <c r="S116" s="23">
        <v>42047</v>
      </c>
      <c r="T116" s="23">
        <v>42060</v>
      </c>
      <c r="U116" s="23"/>
      <c r="V116" s="11" t="s">
        <v>820</v>
      </c>
      <c r="W116" s="8"/>
      <c r="X116" s="8"/>
      <c r="Y116" s="8"/>
      <c r="Z116" s="8" t="s">
        <v>431</v>
      </c>
      <c r="AA116" s="8" t="s">
        <v>434</v>
      </c>
      <c r="AB116" s="8" t="s">
        <v>878</v>
      </c>
      <c r="AC116" s="8"/>
      <c r="AD116" s="8"/>
      <c r="AE116" s="8"/>
      <c r="AF116" s="8"/>
      <c r="AG116" s="8"/>
      <c r="AH116" s="32" t="str">
        <f t="shared" si="5"/>
        <v>Resuelto</v>
      </c>
    </row>
    <row r="117" spans="1:38" ht="191.25" customHeight="1" x14ac:dyDescent="0.2">
      <c r="A117" s="8" t="s">
        <v>278</v>
      </c>
      <c r="B117" s="9">
        <v>5014</v>
      </c>
      <c r="C117" s="9" t="s">
        <v>512</v>
      </c>
      <c r="D117" s="15">
        <v>41927</v>
      </c>
      <c r="E117" s="9" t="s">
        <v>54</v>
      </c>
      <c r="F117" s="9" t="s">
        <v>271</v>
      </c>
      <c r="G117" s="9" t="s">
        <v>272</v>
      </c>
      <c r="H117" s="9" t="s">
        <v>18</v>
      </c>
      <c r="I117" s="9" t="s">
        <v>273</v>
      </c>
      <c r="J117" s="9">
        <v>15377258</v>
      </c>
      <c r="K117" s="9" t="s">
        <v>58</v>
      </c>
      <c r="L117" s="9" t="s">
        <v>274</v>
      </c>
      <c r="M117" s="9" t="s">
        <v>22</v>
      </c>
      <c r="N117" s="8"/>
      <c r="O117" s="9" t="s">
        <v>320</v>
      </c>
      <c r="P117" s="9"/>
      <c r="Q117" s="9" t="str">
        <f t="shared" si="4"/>
        <v>SI</v>
      </c>
      <c r="R117" s="8"/>
      <c r="S117" s="8"/>
      <c r="T117" s="18"/>
      <c r="U117" s="18"/>
      <c r="V117" s="11" t="s">
        <v>821</v>
      </c>
      <c r="W117" s="8"/>
      <c r="X117" s="8"/>
      <c r="Y117" s="8"/>
      <c r="Z117" s="8"/>
      <c r="AA117" s="8"/>
      <c r="AB117" s="8"/>
      <c r="AC117" s="8"/>
      <c r="AD117" s="8"/>
      <c r="AE117" s="8"/>
      <c r="AF117" s="8"/>
      <c r="AG117" s="8"/>
      <c r="AH117" s="32" t="str">
        <f t="shared" si="5"/>
        <v>Resuelto</v>
      </c>
      <c r="AJ117" s="33" t="s">
        <v>1006</v>
      </c>
    </row>
    <row r="118" spans="1:38" ht="157.5" customHeight="1" x14ac:dyDescent="0.2">
      <c r="A118" s="8" t="s">
        <v>278</v>
      </c>
      <c r="B118" s="9">
        <v>11006</v>
      </c>
      <c r="C118" s="9" t="s">
        <v>756</v>
      </c>
      <c r="D118" s="15">
        <v>41927</v>
      </c>
      <c r="E118" s="9" t="s">
        <v>54</v>
      </c>
      <c r="F118" s="9" t="s">
        <v>275</v>
      </c>
      <c r="G118" s="9" t="s">
        <v>56</v>
      </c>
      <c r="H118" s="9" t="s">
        <v>18</v>
      </c>
      <c r="I118" s="9" t="s">
        <v>276</v>
      </c>
      <c r="J118" s="9">
        <v>39454695</v>
      </c>
      <c r="K118" s="9" t="s">
        <v>20</v>
      </c>
      <c r="L118" s="9" t="s">
        <v>277</v>
      </c>
      <c r="M118" s="9" t="s">
        <v>22</v>
      </c>
      <c r="N118" s="8"/>
      <c r="O118" s="9" t="s">
        <v>320</v>
      </c>
      <c r="P118" s="9"/>
      <c r="Q118" s="9" t="str">
        <f t="shared" si="4"/>
        <v>SI</v>
      </c>
      <c r="R118" s="12" t="s">
        <v>366</v>
      </c>
      <c r="S118" s="11">
        <v>42048</v>
      </c>
      <c r="T118" s="24">
        <v>42048</v>
      </c>
      <c r="U118" s="24"/>
      <c r="V118" s="11"/>
      <c r="W118" s="8"/>
      <c r="X118" s="8"/>
      <c r="Y118" s="8"/>
      <c r="Z118" s="8" t="s">
        <v>359</v>
      </c>
      <c r="AA118" s="8"/>
      <c r="AB118" s="8"/>
      <c r="AC118" s="8"/>
      <c r="AD118" s="8"/>
      <c r="AE118" s="8"/>
      <c r="AF118" s="8"/>
      <c r="AG118" s="8"/>
      <c r="AH118" s="32" t="str">
        <f t="shared" si="5"/>
        <v>Resuelto</v>
      </c>
      <c r="AJ118" s="33" t="s">
        <v>1006</v>
      </c>
    </row>
    <row r="119" spans="1:38" ht="315" customHeight="1" x14ac:dyDescent="0.2">
      <c r="A119" s="8" t="s">
        <v>102</v>
      </c>
      <c r="B119" s="9">
        <v>9004</v>
      </c>
      <c r="C119" s="9" t="s">
        <v>754</v>
      </c>
      <c r="D119" s="10">
        <v>41935</v>
      </c>
      <c r="E119" s="9" t="s">
        <v>96</v>
      </c>
      <c r="F119" s="9" t="s">
        <v>98</v>
      </c>
      <c r="G119" s="9" t="s">
        <v>99</v>
      </c>
      <c r="H119" s="9" t="s">
        <v>18</v>
      </c>
      <c r="I119" s="9" t="s">
        <v>100</v>
      </c>
      <c r="J119" s="9">
        <v>10772068</v>
      </c>
      <c r="K119" s="9" t="s">
        <v>43</v>
      </c>
      <c r="L119" s="9" t="s">
        <v>101</v>
      </c>
      <c r="M119" s="9" t="s">
        <v>29</v>
      </c>
      <c r="N119" s="8"/>
      <c r="O119" s="9" t="s">
        <v>320</v>
      </c>
      <c r="P119" s="9"/>
      <c r="Q119" s="9" t="str">
        <f t="shared" si="4"/>
        <v>SI</v>
      </c>
      <c r="R119" s="8" t="s">
        <v>318</v>
      </c>
      <c r="S119" s="11">
        <v>42048</v>
      </c>
      <c r="T119" s="23">
        <v>42047</v>
      </c>
      <c r="U119" s="23"/>
      <c r="V119" s="11" t="s">
        <v>822</v>
      </c>
      <c r="W119" s="8"/>
      <c r="X119" s="8"/>
      <c r="Y119" s="8"/>
      <c r="Z119" s="8" t="s">
        <v>329</v>
      </c>
      <c r="AA119" s="8"/>
      <c r="AB119" s="8"/>
      <c r="AC119" s="8"/>
      <c r="AD119" s="8"/>
      <c r="AE119" s="8"/>
      <c r="AF119" s="8"/>
      <c r="AG119" s="8"/>
      <c r="AH119" s="32" t="str">
        <f t="shared" si="5"/>
        <v>Resuelto</v>
      </c>
      <c r="AJ119" s="33" t="s">
        <v>1006</v>
      </c>
    </row>
    <row r="120" spans="1:38" ht="258.75" customHeight="1" x14ac:dyDescent="0.2">
      <c r="A120" s="8" t="s">
        <v>279</v>
      </c>
      <c r="B120" s="9">
        <v>2014</v>
      </c>
      <c r="C120" s="9" t="s">
        <v>749</v>
      </c>
      <c r="D120" s="10">
        <v>41943</v>
      </c>
      <c r="E120" s="9" t="s">
        <v>15</v>
      </c>
      <c r="F120" s="9" t="s">
        <v>40</v>
      </c>
      <c r="G120" s="9" t="s">
        <v>41</v>
      </c>
      <c r="H120" s="9" t="s">
        <v>18</v>
      </c>
      <c r="I120" s="9" t="s">
        <v>103</v>
      </c>
      <c r="J120" s="9">
        <v>8047755</v>
      </c>
      <c r="K120" s="9" t="s">
        <v>43</v>
      </c>
      <c r="L120" s="9" t="s">
        <v>104</v>
      </c>
      <c r="M120" s="9" t="s">
        <v>22</v>
      </c>
      <c r="N120" s="8"/>
      <c r="O120" s="9" t="s">
        <v>320</v>
      </c>
      <c r="P120" s="9"/>
      <c r="Q120" s="9" t="str">
        <f t="shared" si="4"/>
        <v>SI</v>
      </c>
      <c r="R120" s="8"/>
      <c r="S120" s="8"/>
      <c r="T120" s="18"/>
      <c r="U120" s="18"/>
      <c r="V120" s="11" t="s">
        <v>922</v>
      </c>
      <c r="W120" s="8"/>
      <c r="X120" s="8"/>
      <c r="Y120" s="8"/>
      <c r="Z120" s="8"/>
      <c r="AA120" s="8"/>
      <c r="AB120" s="8"/>
      <c r="AC120" s="8"/>
      <c r="AD120" s="8"/>
      <c r="AE120" s="8"/>
      <c r="AF120" s="8"/>
      <c r="AG120" s="8"/>
      <c r="AH120" s="32" t="str">
        <f t="shared" si="5"/>
        <v>Resuelto</v>
      </c>
      <c r="AJ120" s="33" t="s">
        <v>1006</v>
      </c>
    </row>
    <row r="121" spans="1:38" ht="112.5" customHeight="1" x14ac:dyDescent="0.2">
      <c r="A121" s="8" t="s">
        <v>279</v>
      </c>
      <c r="B121" s="9">
        <v>4017</v>
      </c>
      <c r="C121" s="9" t="s">
        <v>751</v>
      </c>
      <c r="D121" s="10">
        <v>41971</v>
      </c>
      <c r="E121" s="9" t="s">
        <v>24</v>
      </c>
      <c r="F121" s="9" t="s">
        <v>105</v>
      </c>
      <c r="G121" s="9" t="s">
        <v>106</v>
      </c>
      <c r="H121" s="9" t="s">
        <v>18</v>
      </c>
      <c r="I121" s="9" t="s">
        <v>107</v>
      </c>
      <c r="J121" s="9">
        <v>15406720</v>
      </c>
      <c r="K121" s="9" t="s">
        <v>92</v>
      </c>
      <c r="L121" s="9" t="s">
        <v>108</v>
      </c>
      <c r="M121" s="9" t="s">
        <v>29</v>
      </c>
      <c r="N121" s="8"/>
      <c r="O121" s="9" t="s">
        <v>315</v>
      </c>
      <c r="P121" s="9"/>
      <c r="Q121" s="9" t="str">
        <f t="shared" si="4"/>
        <v>SI</v>
      </c>
      <c r="R121" s="8" t="s">
        <v>474</v>
      </c>
      <c r="S121" s="8"/>
      <c r="T121" s="11">
        <v>42079</v>
      </c>
      <c r="U121" s="11"/>
      <c r="V121" s="11" t="s">
        <v>823</v>
      </c>
      <c r="W121" s="8"/>
      <c r="X121" s="8"/>
      <c r="Y121" s="8"/>
      <c r="Z121" s="8"/>
      <c r="AA121" s="8" t="s">
        <v>459</v>
      </c>
      <c r="AB121" s="8"/>
      <c r="AC121" s="8" t="s">
        <v>886</v>
      </c>
      <c r="AD121" s="8" t="s">
        <v>974</v>
      </c>
      <c r="AE121" s="8"/>
      <c r="AF121" s="8"/>
      <c r="AG121" s="8"/>
      <c r="AH121" s="32" t="str">
        <f t="shared" si="5"/>
        <v>A</v>
      </c>
    </row>
    <row r="122" spans="1:38" ht="157.5" customHeight="1" x14ac:dyDescent="0.2">
      <c r="A122" s="8" t="s">
        <v>279</v>
      </c>
      <c r="B122" s="9">
        <v>7019</v>
      </c>
      <c r="C122" s="9" t="s">
        <v>752</v>
      </c>
      <c r="D122" s="10">
        <v>41938</v>
      </c>
      <c r="E122" s="9" t="s">
        <v>45</v>
      </c>
      <c r="F122" s="9" t="s">
        <v>109</v>
      </c>
      <c r="G122" s="9" t="s">
        <v>93</v>
      </c>
      <c r="H122" s="9" t="s">
        <v>18</v>
      </c>
      <c r="I122" s="9" t="s">
        <v>110</v>
      </c>
      <c r="J122" s="9">
        <v>70511794</v>
      </c>
      <c r="K122" s="9" t="s">
        <v>58</v>
      </c>
      <c r="L122" s="9" t="s">
        <v>111</v>
      </c>
      <c r="M122" s="9" t="s">
        <v>22</v>
      </c>
      <c r="N122" s="8"/>
      <c r="O122" s="9" t="s">
        <v>315</v>
      </c>
      <c r="P122" s="9"/>
      <c r="Q122" s="9" t="str">
        <f t="shared" si="4"/>
        <v>SI</v>
      </c>
      <c r="R122" s="8" t="s">
        <v>386</v>
      </c>
      <c r="S122" s="11" t="s">
        <v>387</v>
      </c>
      <c r="T122" s="11">
        <v>42080</v>
      </c>
      <c r="U122" s="23"/>
      <c r="V122" s="11" t="s">
        <v>887</v>
      </c>
      <c r="W122" s="8"/>
      <c r="X122" s="8"/>
      <c r="Y122" s="8"/>
      <c r="Z122" s="8" t="s">
        <v>381</v>
      </c>
      <c r="AA122" s="8" t="s">
        <v>438</v>
      </c>
      <c r="AB122" s="8"/>
      <c r="AC122" s="8" t="s">
        <v>919</v>
      </c>
      <c r="AD122" s="8" t="s">
        <v>989</v>
      </c>
      <c r="AE122" s="8"/>
      <c r="AF122" s="8"/>
      <c r="AG122" s="8"/>
      <c r="AH122" s="32" t="str">
        <f t="shared" si="5"/>
        <v>V</v>
      </c>
      <c r="AL122" s="33"/>
    </row>
    <row r="123" spans="1:38" ht="337.5" customHeight="1" x14ac:dyDescent="0.2">
      <c r="A123" s="8" t="s">
        <v>279</v>
      </c>
      <c r="B123" s="9">
        <v>9005</v>
      </c>
      <c r="C123" s="9" t="s">
        <v>754</v>
      </c>
      <c r="D123" s="10">
        <v>41943</v>
      </c>
      <c r="E123" s="9" t="s">
        <v>96</v>
      </c>
      <c r="F123" s="9" t="s">
        <v>112</v>
      </c>
      <c r="G123" s="9" t="s">
        <v>113</v>
      </c>
      <c r="H123" s="9" t="s">
        <v>18</v>
      </c>
      <c r="I123" s="9" t="s">
        <v>114</v>
      </c>
      <c r="J123" s="9">
        <v>8328415</v>
      </c>
      <c r="K123" s="9" t="s">
        <v>58</v>
      </c>
      <c r="L123" s="9" t="s">
        <v>115</v>
      </c>
      <c r="M123" s="9" t="s">
        <v>22</v>
      </c>
      <c r="N123" s="8"/>
      <c r="O123" s="9" t="s">
        <v>320</v>
      </c>
      <c r="P123" s="9"/>
      <c r="Q123" s="9" t="str">
        <f t="shared" si="4"/>
        <v>SI</v>
      </c>
      <c r="R123" s="8" t="s">
        <v>388</v>
      </c>
      <c r="S123" s="11">
        <v>42048</v>
      </c>
      <c r="T123" s="23">
        <v>42060</v>
      </c>
      <c r="U123" s="23"/>
      <c r="V123" s="11" t="s">
        <v>824</v>
      </c>
      <c r="W123" s="8"/>
      <c r="X123" s="8"/>
      <c r="Y123" s="8"/>
      <c r="Z123" s="8" t="s">
        <v>330</v>
      </c>
      <c r="AA123" s="8"/>
      <c r="AB123" s="8" t="s">
        <v>873</v>
      </c>
      <c r="AC123" s="8"/>
      <c r="AD123" s="8"/>
      <c r="AE123" s="8"/>
      <c r="AF123" s="8"/>
      <c r="AG123" s="8"/>
      <c r="AH123" s="32" t="str">
        <f t="shared" si="5"/>
        <v>Resuelto</v>
      </c>
    </row>
    <row r="124" spans="1:38" ht="112.5" customHeight="1" x14ac:dyDescent="0.2">
      <c r="A124" s="8" t="s">
        <v>279</v>
      </c>
      <c r="B124" s="9">
        <v>11007</v>
      </c>
      <c r="C124" s="9" t="s">
        <v>756</v>
      </c>
      <c r="D124" s="10">
        <v>41941</v>
      </c>
      <c r="E124" s="9" t="s">
        <v>54</v>
      </c>
      <c r="F124" s="9" t="s">
        <v>116</v>
      </c>
      <c r="G124" s="9" t="s">
        <v>23</v>
      </c>
      <c r="H124" s="9" t="s">
        <v>65</v>
      </c>
      <c r="I124" s="9" t="s">
        <v>117</v>
      </c>
      <c r="J124" s="9">
        <v>43598952</v>
      </c>
      <c r="K124" s="9" t="s">
        <v>43</v>
      </c>
      <c r="L124" s="9" t="s">
        <v>118</v>
      </c>
      <c r="M124" s="9" t="s">
        <v>89</v>
      </c>
      <c r="N124" s="8"/>
      <c r="O124" s="9" t="s">
        <v>315</v>
      </c>
      <c r="P124" s="9"/>
      <c r="Q124" s="9" t="str">
        <f t="shared" si="4"/>
        <v>SI</v>
      </c>
      <c r="R124" s="8" t="s">
        <v>366</v>
      </c>
      <c r="S124" s="11">
        <v>42048</v>
      </c>
      <c r="T124" s="24">
        <v>42048</v>
      </c>
      <c r="U124" s="24"/>
      <c r="V124" s="11"/>
      <c r="W124" s="8"/>
      <c r="X124" s="8"/>
      <c r="Y124" s="8"/>
      <c r="Z124" s="8" t="s">
        <v>379</v>
      </c>
      <c r="AA124" s="8"/>
      <c r="AB124" s="8"/>
      <c r="AC124" s="8"/>
      <c r="AD124" s="8"/>
      <c r="AE124" s="8"/>
      <c r="AF124" s="8"/>
      <c r="AG124" s="8"/>
      <c r="AH124" s="32" t="str">
        <f t="shared" si="5"/>
        <v>R</v>
      </c>
    </row>
    <row r="125" spans="1:38" ht="348.75" customHeight="1" x14ac:dyDescent="0.2">
      <c r="A125" s="8" t="s">
        <v>129</v>
      </c>
      <c r="B125" s="9">
        <v>11008</v>
      </c>
      <c r="C125" s="9" t="s">
        <v>756</v>
      </c>
      <c r="D125" s="10">
        <v>41947</v>
      </c>
      <c r="E125" s="9" t="s">
        <v>54</v>
      </c>
      <c r="F125" s="9" t="s">
        <v>82</v>
      </c>
      <c r="G125" s="9" t="s">
        <v>83</v>
      </c>
      <c r="H125" s="9" t="s">
        <v>18</v>
      </c>
      <c r="I125" s="9" t="s">
        <v>127</v>
      </c>
      <c r="J125" s="9">
        <v>43986224</v>
      </c>
      <c r="K125" s="9" t="s">
        <v>92</v>
      </c>
      <c r="L125" s="9" t="s">
        <v>128</v>
      </c>
      <c r="M125" s="9" t="s">
        <v>88</v>
      </c>
      <c r="N125" s="8" t="s">
        <v>23</v>
      </c>
      <c r="O125" s="8" t="s">
        <v>315</v>
      </c>
      <c r="P125" s="9"/>
      <c r="Q125" s="9" t="str">
        <f t="shared" si="4"/>
        <v>SI</v>
      </c>
      <c r="R125" s="12" t="s">
        <v>23</v>
      </c>
      <c r="S125" s="11">
        <v>42060</v>
      </c>
      <c r="T125" s="11">
        <v>42060</v>
      </c>
      <c r="U125" s="18"/>
      <c r="V125" s="11"/>
      <c r="W125" s="8"/>
      <c r="X125" s="8"/>
      <c r="Y125" s="8"/>
      <c r="Z125" s="8"/>
      <c r="AA125" s="8"/>
      <c r="AB125" s="8" t="s">
        <v>847</v>
      </c>
      <c r="AC125" s="8"/>
      <c r="AD125" s="8"/>
      <c r="AE125" s="8"/>
      <c r="AF125" s="8"/>
      <c r="AG125" s="8"/>
      <c r="AH125" s="32" t="str">
        <f t="shared" si="5"/>
        <v>R</v>
      </c>
    </row>
    <row r="126" spans="1:38" ht="96" x14ac:dyDescent="0.2">
      <c r="A126" s="8" t="s">
        <v>129</v>
      </c>
      <c r="B126" s="9">
        <v>5015</v>
      </c>
      <c r="C126" s="9" t="s">
        <v>512</v>
      </c>
      <c r="D126" s="10">
        <v>41950</v>
      </c>
      <c r="E126" s="9" t="s">
        <v>54</v>
      </c>
      <c r="F126" s="9" t="s">
        <v>123</v>
      </c>
      <c r="G126" s="9" t="s">
        <v>124</v>
      </c>
      <c r="H126" s="9" t="s">
        <v>18</v>
      </c>
      <c r="I126" s="9" t="s">
        <v>125</v>
      </c>
      <c r="J126" s="9">
        <v>15434044</v>
      </c>
      <c r="K126" s="9" t="s">
        <v>58</v>
      </c>
      <c r="L126" s="9" t="s">
        <v>126</v>
      </c>
      <c r="M126" s="9" t="s">
        <v>22</v>
      </c>
      <c r="N126" s="8" t="s">
        <v>23</v>
      </c>
      <c r="O126" s="9" t="s">
        <v>315</v>
      </c>
      <c r="P126" s="9"/>
      <c r="Q126" s="9" t="str">
        <f t="shared" si="4"/>
        <v>SI</v>
      </c>
      <c r="R126" s="12" t="s">
        <v>366</v>
      </c>
      <c r="S126" s="11">
        <v>42260</v>
      </c>
      <c r="T126" s="24">
        <v>42070</v>
      </c>
      <c r="U126" s="24"/>
      <c r="V126" s="11"/>
      <c r="W126" s="8"/>
      <c r="X126" s="8"/>
      <c r="Y126" s="8"/>
      <c r="Z126" s="8" t="s">
        <v>362</v>
      </c>
      <c r="AA126" s="8" t="s">
        <v>463</v>
      </c>
      <c r="AB126" s="8"/>
      <c r="AC126" s="8" t="s">
        <v>935</v>
      </c>
      <c r="AD126" s="8"/>
      <c r="AE126" s="8"/>
      <c r="AF126" s="8"/>
      <c r="AG126" s="8"/>
      <c r="AH126" s="32" t="str">
        <f t="shared" si="5"/>
        <v>R</v>
      </c>
    </row>
    <row r="127" spans="1:38" ht="123.75" customHeight="1" x14ac:dyDescent="0.2">
      <c r="A127" s="8" t="s">
        <v>181</v>
      </c>
      <c r="B127" s="9">
        <v>7022</v>
      </c>
      <c r="C127" s="9" t="s">
        <v>752</v>
      </c>
      <c r="D127" s="10">
        <v>42031</v>
      </c>
      <c r="E127" s="9" t="s">
        <v>45</v>
      </c>
      <c r="F127" s="9" t="s">
        <v>46</v>
      </c>
      <c r="G127" s="9" t="s">
        <v>178</v>
      </c>
      <c r="H127" s="9" t="s">
        <v>18</v>
      </c>
      <c r="I127" s="9" t="s">
        <v>179</v>
      </c>
      <c r="J127" s="9">
        <v>71368519</v>
      </c>
      <c r="K127" s="9" t="s">
        <v>43</v>
      </c>
      <c r="L127" s="9" t="s">
        <v>180</v>
      </c>
      <c r="M127" s="9" t="s">
        <v>22</v>
      </c>
      <c r="N127" s="8"/>
      <c r="O127" s="9" t="s">
        <v>320</v>
      </c>
      <c r="P127" s="9"/>
      <c r="Q127" s="9" t="str">
        <f t="shared" si="4"/>
        <v>SI</v>
      </c>
      <c r="R127" s="8" t="s">
        <v>305</v>
      </c>
      <c r="S127" s="11">
        <v>42045</v>
      </c>
      <c r="T127" s="23">
        <v>42054</v>
      </c>
      <c r="U127" s="23"/>
      <c r="V127" s="11" t="s">
        <v>923</v>
      </c>
      <c r="W127" s="8"/>
      <c r="X127" s="8"/>
      <c r="Y127" s="8" t="s">
        <v>345</v>
      </c>
      <c r="Z127" s="8"/>
      <c r="AA127" s="8" t="s">
        <v>447</v>
      </c>
      <c r="AB127" s="8"/>
      <c r="AC127" s="8"/>
      <c r="AD127" s="8"/>
      <c r="AE127" s="8"/>
      <c r="AF127" s="8"/>
      <c r="AG127" s="8"/>
      <c r="AH127" s="32" t="str">
        <f t="shared" si="5"/>
        <v>Resuelto</v>
      </c>
    </row>
    <row r="128" spans="1:38" ht="371.25" customHeight="1" x14ac:dyDescent="0.2">
      <c r="A128" s="8" t="s">
        <v>141</v>
      </c>
      <c r="B128" s="9">
        <v>1004</v>
      </c>
      <c r="C128" s="9" t="s">
        <v>748</v>
      </c>
      <c r="D128" s="10">
        <v>41955</v>
      </c>
      <c r="E128" s="9" t="s">
        <v>86</v>
      </c>
      <c r="F128" s="9" t="s">
        <v>130</v>
      </c>
      <c r="G128" s="9" t="s">
        <v>131</v>
      </c>
      <c r="H128" s="9" t="s">
        <v>18</v>
      </c>
      <c r="I128" s="9" t="s">
        <v>132</v>
      </c>
      <c r="J128" s="9">
        <v>71450271</v>
      </c>
      <c r="K128" s="9" t="s">
        <v>43</v>
      </c>
      <c r="L128" s="9" t="s">
        <v>133</v>
      </c>
      <c r="M128" s="9" t="s">
        <v>29</v>
      </c>
      <c r="N128" s="8"/>
      <c r="O128" s="9" t="s">
        <v>315</v>
      </c>
      <c r="P128" s="9"/>
      <c r="Q128" s="9" t="str">
        <f t="shared" si="4"/>
        <v>SI</v>
      </c>
      <c r="R128" s="8" t="s">
        <v>322</v>
      </c>
      <c r="S128" s="8"/>
      <c r="T128" s="11">
        <v>42061</v>
      </c>
      <c r="U128" s="23"/>
      <c r="V128" s="11" t="s">
        <v>906</v>
      </c>
      <c r="W128" s="8"/>
      <c r="X128" s="8"/>
      <c r="Y128" s="8"/>
      <c r="Z128" s="8"/>
      <c r="AA128" s="8" t="s">
        <v>480</v>
      </c>
      <c r="AB128" s="8" t="s">
        <v>769</v>
      </c>
      <c r="AC128" s="8"/>
      <c r="AD128" s="8"/>
      <c r="AE128" s="8"/>
      <c r="AF128" s="8"/>
      <c r="AG128" s="8"/>
      <c r="AH128" s="32" t="str">
        <f t="shared" si="5"/>
        <v>R</v>
      </c>
    </row>
    <row r="129" spans="1:39" ht="202.5" customHeight="1" x14ac:dyDescent="0.2">
      <c r="A129" s="8" t="s">
        <v>141</v>
      </c>
      <c r="B129" s="9">
        <v>11009</v>
      </c>
      <c r="C129" s="9" t="s">
        <v>756</v>
      </c>
      <c r="D129" s="10">
        <v>41953</v>
      </c>
      <c r="E129" s="9" t="s">
        <v>54</v>
      </c>
      <c r="F129" s="9" t="s">
        <v>116</v>
      </c>
      <c r="G129" s="9" t="s">
        <v>23</v>
      </c>
      <c r="H129" s="9" t="s">
        <v>65</v>
      </c>
      <c r="I129" s="9" t="s">
        <v>134</v>
      </c>
      <c r="J129" s="9">
        <v>70300843</v>
      </c>
      <c r="K129" s="9" t="s">
        <v>97</v>
      </c>
      <c r="L129" s="9" t="s">
        <v>135</v>
      </c>
      <c r="M129" s="9" t="s">
        <v>22</v>
      </c>
      <c r="N129" s="22"/>
      <c r="O129" s="9" t="s">
        <v>320</v>
      </c>
      <c r="P129" s="9"/>
      <c r="Q129" s="9" t="str">
        <f t="shared" si="4"/>
        <v>SI</v>
      </c>
      <c r="R129" s="8" t="s">
        <v>514</v>
      </c>
      <c r="S129" s="8" t="s">
        <v>390</v>
      </c>
      <c r="T129" s="23">
        <v>42073</v>
      </c>
      <c r="U129" s="23"/>
      <c r="V129" s="11"/>
      <c r="W129" s="8"/>
      <c r="X129" s="8"/>
      <c r="Y129" s="8"/>
      <c r="Z129" s="8" t="s">
        <v>446</v>
      </c>
      <c r="AA129" s="8" t="s">
        <v>469</v>
      </c>
      <c r="AB129" s="8" t="s">
        <v>513</v>
      </c>
      <c r="AC129" s="8" t="s">
        <v>940</v>
      </c>
      <c r="AD129" s="8"/>
      <c r="AE129" s="8" t="s">
        <v>1000</v>
      </c>
      <c r="AF129" s="8"/>
      <c r="AG129" s="8"/>
      <c r="AH129" s="32" t="str">
        <f t="shared" si="5"/>
        <v>Resuelto</v>
      </c>
    </row>
    <row r="130" spans="1:39" ht="180" customHeight="1" x14ac:dyDescent="0.2">
      <c r="A130" s="8" t="s">
        <v>141</v>
      </c>
      <c r="B130" s="9">
        <v>11010</v>
      </c>
      <c r="C130" s="9" t="s">
        <v>756</v>
      </c>
      <c r="D130" s="10">
        <v>41957</v>
      </c>
      <c r="E130" s="9" t="s">
        <v>54</v>
      </c>
      <c r="F130" s="9" t="s">
        <v>90</v>
      </c>
      <c r="G130" s="9" t="s">
        <v>91</v>
      </c>
      <c r="H130" s="9" t="s">
        <v>18</v>
      </c>
      <c r="I130" s="9" t="s">
        <v>136</v>
      </c>
      <c r="J130" s="9">
        <v>98669783</v>
      </c>
      <c r="K130" s="9" t="s">
        <v>43</v>
      </c>
      <c r="L130" s="9" t="s">
        <v>137</v>
      </c>
      <c r="M130" s="9" t="s">
        <v>22</v>
      </c>
      <c r="N130" s="8"/>
      <c r="O130" s="9" t="s">
        <v>320</v>
      </c>
      <c r="P130" s="9"/>
      <c r="Q130" s="9" t="str">
        <f t="shared" si="4"/>
        <v>SI</v>
      </c>
      <c r="R130" s="12" t="s">
        <v>869</v>
      </c>
      <c r="S130" s="11">
        <v>42260</v>
      </c>
      <c r="T130" s="24">
        <v>42066</v>
      </c>
      <c r="U130" s="24"/>
      <c r="V130" s="11"/>
      <c r="W130" s="8"/>
      <c r="X130" s="8"/>
      <c r="Y130" s="8"/>
      <c r="Z130" s="8" t="s">
        <v>363</v>
      </c>
      <c r="AA130" s="8" t="s">
        <v>470</v>
      </c>
      <c r="AB130" s="8"/>
      <c r="AC130" s="8" t="s">
        <v>876</v>
      </c>
      <c r="AD130" s="8"/>
      <c r="AE130" s="8"/>
      <c r="AF130" s="8"/>
      <c r="AG130" s="8"/>
      <c r="AH130" s="32" t="str">
        <f t="shared" ref="AH130:AH161" si="6">IF(O130="Por iniciar","Por iniciar",(IF(O130&lt;&gt;"Resuelto",IF($AI$1-T130&lt;8,"V",IF($AI$1-T130&lt;15,"A","R")),"Resuelto")))</f>
        <v>Resuelto</v>
      </c>
    </row>
    <row r="131" spans="1:39" ht="56.25" customHeight="1" x14ac:dyDescent="0.2">
      <c r="A131" s="8" t="s">
        <v>141</v>
      </c>
      <c r="B131" s="9">
        <v>11011</v>
      </c>
      <c r="C131" s="9" t="s">
        <v>756</v>
      </c>
      <c r="D131" s="10">
        <v>41957</v>
      </c>
      <c r="E131" s="9" t="s">
        <v>54</v>
      </c>
      <c r="F131" s="9" t="s">
        <v>90</v>
      </c>
      <c r="G131" s="9" t="s">
        <v>138</v>
      </c>
      <c r="H131" s="9" t="s">
        <v>18</v>
      </c>
      <c r="I131" s="9" t="s">
        <v>139</v>
      </c>
      <c r="J131" s="9">
        <v>98669783</v>
      </c>
      <c r="K131" s="9" t="s">
        <v>58</v>
      </c>
      <c r="L131" s="9" t="s">
        <v>140</v>
      </c>
      <c r="M131" s="9" t="s">
        <v>22</v>
      </c>
      <c r="N131" s="8"/>
      <c r="O131" s="9" t="s">
        <v>315</v>
      </c>
      <c r="P131" s="9"/>
      <c r="Q131" s="9" t="str">
        <f t="shared" ref="Q131:Q179" si="7">IF(O131=P131,"NO","SI")</f>
        <v>SI</v>
      </c>
      <c r="R131" s="12" t="s">
        <v>366</v>
      </c>
      <c r="S131" s="11">
        <v>42260</v>
      </c>
      <c r="T131" s="24">
        <v>42048</v>
      </c>
      <c r="U131" s="24"/>
      <c r="V131" s="11"/>
      <c r="W131" s="8"/>
      <c r="X131" s="8"/>
      <c r="Y131" s="8"/>
      <c r="Z131" s="8" t="s">
        <v>364</v>
      </c>
      <c r="AA131" s="8"/>
      <c r="AB131" s="8"/>
      <c r="AC131" s="8"/>
      <c r="AD131" s="8"/>
      <c r="AE131" s="8"/>
      <c r="AF131" s="8"/>
      <c r="AG131" s="8"/>
      <c r="AH131" s="32" t="str">
        <f t="shared" si="6"/>
        <v>R</v>
      </c>
    </row>
    <row r="132" spans="1:39" ht="135" customHeight="1" x14ac:dyDescent="0.2">
      <c r="A132" s="8" t="s">
        <v>167</v>
      </c>
      <c r="B132" s="9">
        <v>1005</v>
      </c>
      <c r="C132" s="9" t="s">
        <v>748</v>
      </c>
      <c r="D132" s="10">
        <v>41962</v>
      </c>
      <c r="E132" s="9" t="s">
        <v>86</v>
      </c>
      <c r="F132" s="9" t="s">
        <v>142</v>
      </c>
      <c r="G132" s="9" t="s">
        <v>143</v>
      </c>
      <c r="H132" s="9" t="s">
        <v>18</v>
      </c>
      <c r="I132" s="9" t="s">
        <v>144</v>
      </c>
      <c r="J132" s="9">
        <v>71171241</v>
      </c>
      <c r="K132" s="9" t="s">
        <v>92</v>
      </c>
      <c r="L132" s="9" t="s">
        <v>145</v>
      </c>
      <c r="M132" s="9" t="s">
        <v>29</v>
      </c>
      <c r="N132" s="8" t="s">
        <v>146</v>
      </c>
      <c r="O132" s="9" t="s">
        <v>320</v>
      </c>
      <c r="P132" s="9"/>
      <c r="Q132" s="9" t="str">
        <f t="shared" si="7"/>
        <v>SI</v>
      </c>
      <c r="R132" s="8" t="s">
        <v>323</v>
      </c>
      <c r="S132" s="11">
        <v>42046</v>
      </c>
      <c r="T132" s="11">
        <v>42069</v>
      </c>
      <c r="U132" s="24"/>
      <c r="V132" s="11"/>
      <c r="W132" s="8"/>
      <c r="X132" s="8"/>
      <c r="Y132" s="8"/>
      <c r="Z132" s="8" t="s">
        <v>334</v>
      </c>
      <c r="AA132" s="8" t="s">
        <v>464</v>
      </c>
      <c r="AB132" s="8" t="s">
        <v>770</v>
      </c>
      <c r="AC132" s="8" t="s">
        <v>944</v>
      </c>
      <c r="AD132" s="8"/>
      <c r="AE132" s="8" t="s">
        <v>1003</v>
      </c>
      <c r="AF132" s="8"/>
      <c r="AG132" s="8"/>
      <c r="AH132" s="32" t="str">
        <f t="shared" si="6"/>
        <v>Resuelto</v>
      </c>
    </row>
    <row r="133" spans="1:39" ht="168.75" customHeight="1" x14ac:dyDescent="0.2">
      <c r="A133" s="8" t="s">
        <v>167</v>
      </c>
      <c r="B133" s="9">
        <v>1006</v>
      </c>
      <c r="C133" s="9" t="s">
        <v>748</v>
      </c>
      <c r="D133" s="10">
        <v>41962</v>
      </c>
      <c r="E133" s="9" t="s">
        <v>86</v>
      </c>
      <c r="F133" s="9" t="s">
        <v>142</v>
      </c>
      <c r="G133" s="9" t="s">
        <v>143</v>
      </c>
      <c r="H133" s="9" t="s">
        <v>18</v>
      </c>
      <c r="I133" s="9" t="s">
        <v>147</v>
      </c>
      <c r="J133" s="9">
        <v>1039696198</v>
      </c>
      <c r="K133" s="9" t="s">
        <v>92</v>
      </c>
      <c r="L133" s="9" t="s">
        <v>148</v>
      </c>
      <c r="M133" s="9" t="s">
        <v>29</v>
      </c>
      <c r="N133" s="8" t="s">
        <v>146</v>
      </c>
      <c r="O133" s="9" t="s">
        <v>320</v>
      </c>
      <c r="P133" s="9"/>
      <c r="Q133" s="9" t="str">
        <f t="shared" si="7"/>
        <v>SI</v>
      </c>
      <c r="R133" s="8" t="s">
        <v>323</v>
      </c>
      <c r="S133" s="11">
        <v>42046</v>
      </c>
      <c r="T133" s="11">
        <v>42069</v>
      </c>
      <c r="U133" s="24"/>
      <c r="V133" s="11"/>
      <c r="W133" s="8"/>
      <c r="X133" s="8"/>
      <c r="Y133" s="8"/>
      <c r="Z133" s="8" t="s">
        <v>334</v>
      </c>
      <c r="AA133" s="8" t="s">
        <v>464</v>
      </c>
      <c r="AB133" s="8" t="s">
        <v>770</v>
      </c>
      <c r="AC133" s="8" t="s">
        <v>944</v>
      </c>
      <c r="AD133" s="8"/>
      <c r="AE133" s="8" t="s">
        <v>1003</v>
      </c>
      <c r="AF133" s="8"/>
      <c r="AG133" s="8"/>
      <c r="AH133" s="32" t="str">
        <f t="shared" si="6"/>
        <v>Resuelto</v>
      </c>
    </row>
    <row r="134" spans="1:39" ht="101.25" customHeight="1" x14ac:dyDescent="0.2">
      <c r="A134" s="8" t="s">
        <v>167</v>
      </c>
      <c r="B134" s="9">
        <v>1007</v>
      </c>
      <c r="C134" s="9" t="s">
        <v>748</v>
      </c>
      <c r="D134" s="10">
        <v>41962</v>
      </c>
      <c r="E134" s="9" t="s">
        <v>86</v>
      </c>
      <c r="F134" s="9" t="s">
        <v>142</v>
      </c>
      <c r="G134" s="9" t="s">
        <v>143</v>
      </c>
      <c r="H134" s="9" t="s">
        <v>18</v>
      </c>
      <c r="I134" s="9" t="s">
        <v>149</v>
      </c>
      <c r="J134" s="9">
        <v>1039686694</v>
      </c>
      <c r="K134" s="9" t="s">
        <v>92</v>
      </c>
      <c r="L134" s="9" t="s">
        <v>150</v>
      </c>
      <c r="M134" s="9" t="s">
        <v>29</v>
      </c>
      <c r="N134" s="8" t="s">
        <v>151</v>
      </c>
      <c r="O134" s="9" t="s">
        <v>320</v>
      </c>
      <c r="P134" s="9"/>
      <c r="Q134" s="9" t="str">
        <f t="shared" si="7"/>
        <v>SI</v>
      </c>
      <c r="R134" s="8" t="s">
        <v>323</v>
      </c>
      <c r="S134" s="11">
        <v>42046</v>
      </c>
      <c r="T134" s="11">
        <v>42069</v>
      </c>
      <c r="U134" s="24"/>
      <c r="V134" s="11"/>
      <c r="W134" s="8"/>
      <c r="X134" s="8"/>
      <c r="Y134" s="8"/>
      <c r="Z134" s="8" t="s">
        <v>335</v>
      </c>
      <c r="AA134" s="8" t="s">
        <v>464</v>
      </c>
      <c r="AB134" s="8" t="s">
        <v>770</v>
      </c>
      <c r="AC134" s="8" t="s">
        <v>944</v>
      </c>
      <c r="AD134" s="8"/>
      <c r="AE134" s="8" t="s">
        <v>1003</v>
      </c>
      <c r="AF134" s="8"/>
      <c r="AG134" s="8"/>
      <c r="AH134" s="32" t="str">
        <f t="shared" si="6"/>
        <v>Resuelto</v>
      </c>
    </row>
    <row r="135" spans="1:39" ht="112.5" customHeight="1" x14ac:dyDescent="0.2">
      <c r="A135" s="8" t="s">
        <v>167</v>
      </c>
      <c r="B135" s="9">
        <v>1008</v>
      </c>
      <c r="C135" s="9" t="s">
        <v>748</v>
      </c>
      <c r="D135" s="10">
        <v>41962</v>
      </c>
      <c r="E135" s="9" t="s">
        <v>86</v>
      </c>
      <c r="F135" s="9" t="s">
        <v>142</v>
      </c>
      <c r="G135" s="9" t="s">
        <v>143</v>
      </c>
      <c r="H135" s="9" t="s">
        <v>18</v>
      </c>
      <c r="I135" s="9" t="s">
        <v>152</v>
      </c>
      <c r="J135" s="9">
        <v>1039686694</v>
      </c>
      <c r="K135" s="9" t="s">
        <v>92</v>
      </c>
      <c r="L135" s="9" t="s">
        <v>153</v>
      </c>
      <c r="M135" s="9" t="s">
        <v>29</v>
      </c>
      <c r="N135" s="8" t="s">
        <v>154</v>
      </c>
      <c r="O135" s="9" t="s">
        <v>320</v>
      </c>
      <c r="P135" s="9"/>
      <c r="Q135" s="9" t="str">
        <f t="shared" si="7"/>
        <v>SI</v>
      </c>
      <c r="R135" s="8" t="s">
        <v>323</v>
      </c>
      <c r="S135" s="11">
        <v>42046</v>
      </c>
      <c r="T135" s="11">
        <v>42069</v>
      </c>
      <c r="U135" s="24"/>
      <c r="V135" s="11"/>
      <c r="W135" s="8"/>
      <c r="X135" s="8"/>
      <c r="Y135" s="8"/>
      <c r="Z135" s="8" t="s">
        <v>334</v>
      </c>
      <c r="AA135" s="8" t="s">
        <v>464</v>
      </c>
      <c r="AB135" s="8" t="s">
        <v>770</v>
      </c>
      <c r="AC135" s="8" t="s">
        <v>944</v>
      </c>
      <c r="AD135" s="8"/>
      <c r="AE135" s="8" t="s">
        <v>1003</v>
      </c>
      <c r="AF135" s="8"/>
      <c r="AG135" s="8"/>
      <c r="AH135" s="32" t="str">
        <f t="shared" si="6"/>
        <v>Resuelto</v>
      </c>
    </row>
    <row r="136" spans="1:39" ht="123.75" customHeight="1" x14ac:dyDescent="0.2">
      <c r="A136" s="8" t="s">
        <v>167</v>
      </c>
      <c r="B136" s="9">
        <v>1009</v>
      </c>
      <c r="C136" s="9" t="s">
        <v>748</v>
      </c>
      <c r="D136" s="10">
        <v>41962</v>
      </c>
      <c r="E136" s="9" t="s">
        <v>86</v>
      </c>
      <c r="F136" s="9" t="s">
        <v>142</v>
      </c>
      <c r="G136" s="9" t="s">
        <v>143</v>
      </c>
      <c r="H136" s="9" t="s">
        <v>23</v>
      </c>
      <c r="I136" s="9" t="s">
        <v>155</v>
      </c>
      <c r="J136" s="9">
        <v>1039686763</v>
      </c>
      <c r="K136" s="9" t="s">
        <v>92</v>
      </c>
      <c r="L136" s="9" t="s">
        <v>156</v>
      </c>
      <c r="M136" s="9" t="s">
        <v>29</v>
      </c>
      <c r="N136" s="8" t="s">
        <v>154</v>
      </c>
      <c r="O136" s="9" t="s">
        <v>320</v>
      </c>
      <c r="P136" s="9"/>
      <c r="Q136" s="9" t="str">
        <f t="shared" si="7"/>
        <v>SI</v>
      </c>
      <c r="R136" s="8" t="s">
        <v>323</v>
      </c>
      <c r="S136" s="11">
        <v>42046</v>
      </c>
      <c r="T136" s="11">
        <v>42069</v>
      </c>
      <c r="U136" s="24"/>
      <c r="V136" s="11"/>
      <c r="W136" s="8"/>
      <c r="X136" s="8"/>
      <c r="Y136" s="8"/>
      <c r="Z136" s="8" t="s">
        <v>334</v>
      </c>
      <c r="AA136" s="8" t="s">
        <v>464</v>
      </c>
      <c r="AB136" s="8" t="s">
        <v>770</v>
      </c>
      <c r="AC136" s="8" t="s">
        <v>944</v>
      </c>
      <c r="AD136" s="8"/>
      <c r="AE136" s="8" t="s">
        <v>1003</v>
      </c>
      <c r="AF136" s="8"/>
      <c r="AG136" s="8"/>
      <c r="AH136" s="32" t="str">
        <f t="shared" si="6"/>
        <v>Resuelto</v>
      </c>
    </row>
    <row r="137" spans="1:39" ht="123.75" customHeight="1" x14ac:dyDescent="0.2">
      <c r="A137" s="8" t="s">
        <v>167</v>
      </c>
      <c r="B137" s="9">
        <v>2016</v>
      </c>
      <c r="C137" s="9" t="s">
        <v>749</v>
      </c>
      <c r="D137" s="10">
        <v>41965</v>
      </c>
      <c r="E137" s="9" t="s">
        <v>15</v>
      </c>
      <c r="F137" s="9" t="s">
        <v>157</v>
      </c>
      <c r="G137" s="9" t="s">
        <v>158</v>
      </c>
      <c r="H137" s="9" t="s">
        <v>18</v>
      </c>
      <c r="I137" s="9" t="s">
        <v>159</v>
      </c>
      <c r="J137" s="9">
        <v>98471530</v>
      </c>
      <c r="K137" s="9" t="s">
        <v>43</v>
      </c>
      <c r="L137" s="9" t="s">
        <v>160</v>
      </c>
      <c r="M137" s="9" t="s">
        <v>29</v>
      </c>
      <c r="N137" s="8" t="s">
        <v>161</v>
      </c>
      <c r="O137" s="9" t="s">
        <v>320</v>
      </c>
      <c r="P137" s="9"/>
      <c r="Q137" s="9" t="str">
        <f t="shared" si="7"/>
        <v>SI</v>
      </c>
      <c r="R137" s="8"/>
      <c r="S137" s="8"/>
      <c r="T137" s="18"/>
      <c r="U137" s="18"/>
      <c r="V137" s="11" t="s">
        <v>825</v>
      </c>
      <c r="W137" s="8"/>
      <c r="X137" s="8"/>
      <c r="Y137" s="8"/>
      <c r="Z137" s="8"/>
      <c r="AA137" s="8"/>
      <c r="AB137" s="8"/>
      <c r="AC137" s="8"/>
      <c r="AD137" s="8"/>
      <c r="AE137" s="8"/>
      <c r="AF137" s="8"/>
      <c r="AG137" s="8"/>
      <c r="AH137" s="32" t="str">
        <f t="shared" si="6"/>
        <v>Resuelto</v>
      </c>
      <c r="AJ137" s="33" t="s">
        <v>1006</v>
      </c>
    </row>
    <row r="138" spans="1:39" ht="270" customHeight="1" x14ac:dyDescent="0.2">
      <c r="A138" s="8" t="s">
        <v>167</v>
      </c>
      <c r="B138" s="9">
        <v>8025</v>
      </c>
      <c r="C138" s="9" t="s">
        <v>753</v>
      </c>
      <c r="D138" s="10">
        <v>41963</v>
      </c>
      <c r="E138" s="9" t="s">
        <v>45</v>
      </c>
      <c r="F138" s="9" t="s">
        <v>50</v>
      </c>
      <c r="G138" s="9" t="s">
        <v>51</v>
      </c>
      <c r="H138" s="9" t="s">
        <v>18</v>
      </c>
      <c r="I138" s="9" t="s">
        <v>162</v>
      </c>
      <c r="J138" s="9">
        <v>98452563</v>
      </c>
      <c r="K138" s="9" t="s">
        <v>43</v>
      </c>
      <c r="L138" s="9" t="s">
        <v>163</v>
      </c>
      <c r="M138" s="9" t="s">
        <v>22</v>
      </c>
      <c r="N138" s="8" t="s">
        <v>23</v>
      </c>
      <c r="O138" s="9" t="s">
        <v>320</v>
      </c>
      <c r="P138" s="9"/>
      <c r="Q138" s="9" t="str">
        <f t="shared" si="7"/>
        <v>SI</v>
      </c>
      <c r="R138" s="8" t="s">
        <v>317</v>
      </c>
      <c r="S138" s="11" t="s">
        <v>367</v>
      </c>
      <c r="T138" s="23">
        <v>42046</v>
      </c>
      <c r="U138" s="23"/>
      <c r="V138" s="11" t="s">
        <v>826</v>
      </c>
      <c r="W138" s="8"/>
      <c r="X138" s="8"/>
      <c r="Y138" s="8" t="s">
        <v>340</v>
      </c>
      <c r="Z138" s="8" t="s">
        <v>336</v>
      </c>
      <c r="AA138" s="8"/>
      <c r="AB138" s="8"/>
      <c r="AC138" s="8"/>
      <c r="AD138" s="8"/>
      <c r="AE138" s="8"/>
      <c r="AF138" s="8"/>
      <c r="AG138" s="8"/>
      <c r="AH138" s="32" t="str">
        <f t="shared" si="6"/>
        <v>Resuelto</v>
      </c>
      <c r="AJ138" s="33" t="s">
        <v>1006</v>
      </c>
      <c r="AK138" s="33" t="s">
        <v>1008</v>
      </c>
    </row>
    <row r="139" spans="1:39" ht="409.5" customHeight="1" x14ac:dyDescent="0.2">
      <c r="A139" s="8" t="s">
        <v>167</v>
      </c>
      <c r="B139" s="9">
        <v>8026</v>
      </c>
      <c r="C139" s="9" t="s">
        <v>753</v>
      </c>
      <c r="D139" s="10">
        <v>41963</v>
      </c>
      <c r="E139" s="9" t="s">
        <v>45</v>
      </c>
      <c r="F139" s="9" t="s">
        <v>95</v>
      </c>
      <c r="G139" s="9" t="s">
        <v>94</v>
      </c>
      <c r="H139" s="9" t="s">
        <v>18</v>
      </c>
      <c r="I139" s="9" t="s">
        <v>164</v>
      </c>
      <c r="J139" s="9"/>
      <c r="K139" s="9" t="s">
        <v>43</v>
      </c>
      <c r="L139" s="9" t="s">
        <v>165</v>
      </c>
      <c r="M139" s="9" t="s">
        <v>22</v>
      </c>
      <c r="N139" s="8"/>
      <c r="O139" s="9" t="s">
        <v>320</v>
      </c>
      <c r="P139" s="9"/>
      <c r="Q139" s="9" t="str">
        <f t="shared" si="7"/>
        <v>SI</v>
      </c>
      <c r="R139" s="8" t="s">
        <v>284</v>
      </c>
      <c r="S139" s="11">
        <v>41974</v>
      </c>
      <c r="T139" s="24">
        <v>42004</v>
      </c>
      <c r="U139" s="24"/>
      <c r="V139" s="11" t="s">
        <v>827</v>
      </c>
      <c r="W139" s="8" t="s">
        <v>285</v>
      </c>
      <c r="X139" s="8"/>
      <c r="Y139" s="8"/>
      <c r="Z139" s="8"/>
      <c r="AA139" s="8"/>
      <c r="AB139" s="8"/>
      <c r="AC139" s="8"/>
      <c r="AD139" s="8"/>
      <c r="AE139" s="8"/>
      <c r="AF139" s="11">
        <v>41975</v>
      </c>
      <c r="AG139" s="8"/>
      <c r="AH139" s="32" t="str">
        <f t="shared" si="6"/>
        <v>Resuelto</v>
      </c>
      <c r="AJ139" s="33" t="s">
        <v>1006</v>
      </c>
    </row>
    <row r="140" spans="1:39" ht="101.25" customHeight="1" x14ac:dyDescent="0.2">
      <c r="A140" s="8" t="s">
        <v>167</v>
      </c>
      <c r="B140" s="9">
        <v>11012</v>
      </c>
      <c r="C140" s="9" t="s">
        <v>756</v>
      </c>
      <c r="D140" s="10">
        <v>41962</v>
      </c>
      <c r="E140" s="9" t="s">
        <v>54</v>
      </c>
      <c r="F140" s="9" t="s">
        <v>82</v>
      </c>
      <c r="G140" s="9" t="s">
        <v>83</v>
      </c>
      <c r="H140" s="9" t="s">
        <v>23</v>
      </c>
      <c r="I140" s="9" t="s">
        <v>84</v>
      </c>
      <c r="J140" s="9">
        <v>70381743</v>
      </c>
      <c r="K140" s="9" t="s">
        <v>58</v>
      </c>
      <c r="L140" s="9" t="s">
        <v>166</v>
      </c>
      <c r="M140" s="9" t="s">
        <v>22</v>
      </c>
      <c r="N140" s="8" t="s">
        <v>23</v>
      </c>
      <c r="O140" s="9" t="s">
        <v>320</v>
      </c>
      <c r="P140" s="9"/>
      <c r="Q140" s="9" t="str">
        <f t="shared" si="7"/>
        <v>SI</v>
      </c>
      <c r="R140" s="8" t="s">
        <v>322</v>
      </c>
      <c r="S140" s="11">
        <v>42046</v>
      </c>
      <c r="T140" s="24">
        <v>42046</v>
      </c>
      <c r="U140" s="24"/>
      <c r="V140" s="11"/>
      <c r="W140" s="8"/>
      <c r="X140" s="8"/>
      <c r="Y140" s="8"/>
      <c r="Z140" s="8" t="s">
        <v>337</v>
      </c>
      <c r="AA140" s="8"/>
      <c r="AB140" s="8"/>
      <c r="AC140" s="8"/>
      <c r="AD140" s="8"/>
      <c r="AE140" s="8"/>
      <c r="AF140" s="8"/>
      <c r="AG140" s="8"/>
      <c r="AH140" s="32" t="str">
        <f t="shared" si="6"/>
        <v>Resuelto</v>
      </c>
    </row>
    <row r="141" spans="1:39" ht="202.5" customHeight="1" x14ac:dyDescent="0.2">
      <c r="A141" s="8" t="s">
        <v>170</v>
      </c>
      <c r="B141" s="9">
        <v>2017</v>
      </c>
      <c r="C141" s="9" t="s">
        <v>749</v>
      </c>
      <c r="D141" s="10">
        <v>41983</v>
      </c>
      <c r="E141" s="9" t="s">
        <v>15</v>
      </c>
      <c r="F141" s="9" t="s">
        <v>119</v>
      </c>
      <c r="G141" s="9" t="s">
        <v>120</v>
      </c>
      <c r="H141" s="9" t="s">
        <v>18</v>
      </c>
      <c r="I141" s="9" t="s">
        <v>168</v>
      </c>
      <c r="J141" s="9">
        <v>32434059</v>
      </c>
      <c r="K141" s="9" t="s">
        <v>43</v>
      </c>
      <c r="L141" s="9" t="s">
        <v>169</v>
      </c>
      <c r="M141" s="9" t="s">
        <v>22</v>
      </c>
      <c r="N141" s="8"/>
      <c r="O141" s="9" t="s">
        <v>315</v>
      </c>
      <c r="P141" s="9"/>
      <c r="Q141" s="9" t="str">
        <f t="shared" si="7"/>
        <v>SI</v>
      </c>
      <c r="R141" s="8" t="s">
        <v>473</v>
      </c>
      <c r="S141" s="23">
        <v>42057</v>
      </c>
      <c r="T141" s="23">
        <v>42081</v>
      </c>
      <c r="U141" s="23"/>
      <c r="V141" s="11" t="s">
        <v>828</v>
      </c>
      <c r="W141" s="8"/>
      <c r="X141" s="8"/>
      <c r="Y141" s="8"/>
      <c r="Z141" s="8"/>
      <c r="AA141" s="8" t="s">
        <v>472</v>
      </c>
      <c r="AB141" s="8"/>
      <c r="AC141" s="8"/>
      <c r="AD141" s="8"/>
      <c r="AE141" s="8" t="s">
        <v>998</v>
      </c>
      <c r="AF141" s="8"/>
      <c r="AG141" s="8"/>
      <c r="AH141" s="32" t="str">
        <f t="shared" si="6"/>
        <v>V</v>
      </c>
      <c r="AL141" s="33"/>
      <c r="AM141" s="33" t="str">
        <f>UPPER(AB141)</f>
        <v/>
      </c>
    </row>
    <row r="142" spans="1:39" ht="168.75" customHeight="1" x14ac:dyDescent="0.2">
      <c r="A142" s="8" t="s">
        <v>181</v>
      </c>
      <c r="B142" s="9">
        <v>1010</v>
      </c>
      <c r="C142" s="9" t="s">
        <v>748</v>
      </c>
      <c r="D142" s="10">
        <v>42024</v>
      </c>
      <c r="E142" s="9" t="s">
        <v>86</v>
      </c>
      <c r="F142" s="9" t="s">
        <v>87</v>
      </c>
      <c r="G142" s="9" t="s">
        <v>171</v>
      </c>
      <c r="H142" s="9" t="s">
        <v>18</v>
      </c>
      <c r="I142" s="9" t="s">
        <v>172</v>
      </c>
      <c r="J142" s="9">
        <v>71610199</v>
      </c>
      <c r="K142" s="9" t="s">
        <v>92</v>
      </c>
      <c r="L142" s="9" t="s">
        <v>173</v>
      </c>
      <c r="M142" s="9" t="s">
        <v>29</v>
      </c>
      <c r="N142" s="8"/>
      <c r="O142" s="9" t="s">
        <v>320</v>
      </c>
      <c r="P142" s="9"/>
      <c r="Q142" s="9" t="str">
        <f t="shared" si="7"/>
        <v>SI</v>
      </c>
      <c r="R142" s="8" t="s">
        <v>303</v>
      </c>
      <c r="S142" s="11">
        <v>42045</v>
      </c>
      <c r="T142" s="23">
        <v>42066</v>
      </c>
      <c r="U142" s="23"/>
      <c r="V142" s="11"/>
      <c r="W142" s="8"/>
      <c r="X142" s="8"/>
      <c r="Y142" s="8" t="s">
        <v>339</v>
      </c>
      <c r="Z142" s="8" t="s">
        <v>481</v>
      </c>
      <c r="AA142" s="8"/>
      <c r="AB142" s="8"/>
      <c r="AC142" s="8" t="s">
        <v>953</v>
      </c>
      <c r="AD142" s="8"/>
      <c r="AE142" s="8"/>
      <c r="AF142" s="8"/>
      <c r="AG142" s="8"/>
      <c r="AH142" s="32" t="str">
        <f t="shared" si="6"/>
        <v>Resuelto</v>
      </c>
      <c r="AJ142" s="33" t="s">
        <v>1007</v>
      </c>
      <c r="AK142" s="33" t="s">
        <v>1008</v>
      </c>
    </row>
    <row r="143" spans="1:39" ht="348.75" customHeight="1" x14ac:dyDescent="0.2">
      <c r="A143" s="8" t="s">
        <v>299</v>
      </c>
      <c r="B143" s="9">
        <v>4018</v>
      </c>
      <c r="C143" s="9" t="s">
        <v>751</v>
      </c>
      <c r="D143" s="10">
        <v>42024</v>
      </c>
      <c r="E143" s="9" t="s">
        <v>24</v>
      </c>
      <c r="F143" s="9" t="s">
        <v>174</v>
      </c>
      <c r="G143" s="9" t="s">
        <v>23</v>
      </c>
      <c r="H143" s="9" t="s">
        <v>65</v>
      </c>
      <c r="I143" s="9" t="s">
        <v>288</v>
      </c>
      <c r="J143" s="9">
        <v>21911809</v>
      </c>
      <c r="K143" s="9" t="s">
        <v>92</v>
      </c>
      <c r="L143" s="9" t="s">
        <v>289</v>
      </c>
      <c r="M143" s="9" t="s">
        <v>22</v>
      </c>
      <c r="N143" s="8"/>
      <c r="O143" s="9" t="s">
        <v>320</v>
      </c>
      <c r="P143" s="9"/>
      <c r="Q143" s="9" t="str">
        <f t="shared" si="7"/>
        <v>SI</v>
      </c>
      <c r="R143" s="9" t="s">
        <v>302</v>
      </c>
      <c r="S143" s="10" t="s">
        <v>368</v>
      </c>
      <c r="T143" s="23">
        <v>42061</v>
      </c>
      <c r="U143" s="23"/>
      <c r="V143" s="11"/>
      <c r="W143" s="9"/>
      <c r="X143" s="9" t="s">
        <v>441</v>
      </c>
      <c r="Y143" s="19" t="s">
        <v>319</v>
      </c>
      <c r="Z143" s="8" t="s">
        <v>355</v>
      </c>
      <c r="AA143" s="8" t="s">
        <v>465</v>
      </c>
      <c r="AB143" s="8" t="s">
        <v>759</v>
      </c>
      <c r="AC143" s="8"/>
      <c r="AD143" s="8"/>
      <c r="AE143" s="8"/>
      <c r="AF143" s="8"/>
      <c r="AG143" s="8"/>
      <c r="AH143" s="32" t="str">
        <f t="shared" si="6"/>
        <v>Resuelto</v>
      </c>
      <c r="AJ143" s="33" t="s">
        <v>1006</v>
      </c>
    </row>
    <row r="144" spans="1:39" ht="295" x14ac:dyDescent="0.2">
      <c r="A144" s="8" t="s">
        <v>299</v>
      </c>
      <c r="B144" s="9">
        <v>2018</v>
      </c>
      <c r="C144" s="9" t="s">
        <v>749</v>
      </c>
      <c r="D144" s="10">
        <v>42024</v>
      </c>
      <c r="E144" s="9" t="s">
        <v>15</v>
      </c>
      <c r="F144" s="9" t="s">
        <v>61</v>
      </c>
      <c r="G144" s="9" t="s">
        <v>290</v>
      </c>
      <c r="H144" s="9" t="s">
        <v>18</v>
      </c>
      <c r="I144" s="9" t="s">
        <v>291</v>
      </c>
      <c r="J144" s="9">
        <v>71173224</v>
      </c>
      <c r="K144" s="9" t="s">
        <v>43</v>
      </c>
      <c r="L144" s="9" t="s">
        <v>292</v>
      </c>
      <c r="M144" s="9" t="s">
        <v>29</v>
      </c>
      <c r="N144" s="8"/>
      <c r="O144" s="9" t="s">
        <v>315</v>
      </c>
      <c r="P144" s="9"/>
      <c r="Q144" s="9" t="str">
        <f t="shared" si="7"/>
        <v>SI</v>
      </c>
      <c r="R144" s="9" t="s">
        <v>316</v>
      </c>
      <c r="S144" s="10" t="s">
        <v>369</v>
      </c>
      <c r="T144" s="23">
        <v>42074</v>
      </c>
      <c r="U144" s="23"/>
      <c r="V144" s="11" t="s">
        <v>829</v>
      </c>
      <c r="W144" s="9"/>
      <c r="X144" s="9" t="s">
        <v>350</v>
      </c>
      <c r="Y144" s="8" t="s">
        <v>341</v>
      </c>
      <c r="Z144" s="8" t="s">
        <v>351</v>
      </c>
      <c r="AA144" s="8" t="s">
        <v>466</v>
      </c>
      <c r="AB144" s="8"/>
      <c r="AC144" s="22"/>
      <c r="AD144" s="8" t="s">
        <v>951</v>
      </c>
      <c r="AE144" s="8"/>
      <c r="AF144" s="8"/>
      <c r="AG144" s="8"/>
      <c r="AH144" s="32" t="str">
        <f t="shared" si="6"/>
        <v>A</v>
      </c>
      <c r="AL144" s="33"/>
    </row>
    <row r="145" spans="1:38" ht="90" customHeight="1" x14ac:dyDescent="0.2">
      <c r="A145" s="8" t="s">
        <v>299</v>
      </c>
      <c r="B145" s="9">
        <v>2019</v>
      </c>
      <c r="C145" s="9" t="s">
        <v>749</v>
      </c>
      <c r="D145" s="10">
        <v>42024</v>
      </c>
      <c r="E145" s="9" t="s">
        <v>15</v>
      </c>
      <c r="F145" s="9" t="s">
        <v>61</v>
      </c>
      <c r="G145" s="9" t="s">
        <v>290</v>
      </c>
      <c r="H145" s="9" t="s">
        <v>18</v>
      </c>
      <c r="I145" s="9" t="s">
        <v>291</v>
      </c>
      <c r="J145" s="9">
        <v>71173224</v>
      </c>
      <c r="K145" s="9" t="s">
        <v>58</v>
      </c>
      <c r="L145" s="9" t="s">
        <v>293</v>
      </c>
      <c r="M145" s="9" t="s">
        <v>22</v>
      </c>
      <c r="N145" s="8"/>
      <c r="O145" s="9" t="s">
        <v>320</v>
      </c>
      <c r="P145" s="9"/>
      <c r="Q145" s="9" t="str">
        <f t="shared" si="7"/>
        <v>SI</v>
      </c>
      <c r="R145" s="9" t="s">
        <v>316</v>
      </c>
      <c r="S145" s="10" t="s">
        <v>369</v>
      </c>
      <c r="T145" s="23">
        <v>42076</v>
      </c>
      <c r="U145" s="23"/>
      <c r="V145" s="11" t="s">
        <v>830</v>
      </c>
      <c r="W145" s="9"/>
      <c r="X145" s="9" t="s">
        <v>347</v>
      </c>
      <c r="Y145" s="8" t="s">
        <v>342</v>
      </c>
      <c r="Z145" s="8" t="s">
        <v>352</v>
      </c>
      <c r="AA145" s="8" t="s">
        <v>467</v>
      </c>
      <c r="AB145" s="8"/>
      <c r="AC145" s="8"/>
      <c r="AD145" s="8" t="s">
        <v>963</v>
      </c>
      <c r="AE145" s="8"/>
      <c r="AF145" s="8"/>
      <c r="AG145" s="8"/>
      <c r="AH145" s="32" t="str">
        <f t="shared" si="6"/>
        <v>Resuelto</v>
      </c>
    </row>
    <row r="146" spans="1:38" ht="78.75" customHeight="1" x14ac:dyDescent="0.2">
      <c r="A146" s="8" t="s">
        <v>299</v>
      </c>
      <c r="B146" s="9">
        <v>2020</v>
      </c>
      <c r="C146" s="9" t="s">
        <v>749</v>
      </c>
      <c r="D146" s="10">
        <v>42024</v>
      </c>
      <c r="E146" s="9" t="s">
        <v>15</v>
      </c>
      <c r="F146" s="9" t="s">
        <v>61</v>
      </c>
      <c r="G146" s="9" t="s">
        <v>290</v>
      </c>
      <c r="H146" s="9" t="s">
        <v>18</v>
      </c>
      <c r="I146" s="9" t="s">
        <v>294</v>
      </c>
      <c r="J146" s="9">
        <v>21652181</v>
      </c>
      <c r="K146" s="9" t="s">
        <v>43</v>
      </c>
      <c r="L146" s="9" t="s">
        <v>295</v>
      </c>
      <c r="M146" s="9" t="s">
        <v>22</v>
      </c>
      <c r="N146" s="8"/>
      <c r="O146" s="9" t="s">
        <v>315</v>
      </c>
      <c r="P146" s="9"/>
      <c r="Q146" s="9" t="str">
        <f t="shared" si="7"/>
        <v>SI</v>
      </c>
      <c r="R146" s="9" t="s">
        <v>316</v>
      </c>
      <c r="S146" s="10" t="s">
        <v>369</v>
      </c>
      <c r="T146" s="23">
        <v>42056</v>
      </c>
      <c r="U146" s="23"/>
      <c r="V146" s="11" t="s">
        <v>831</v>
      </c>
      <c r="W146" s="9"/>
      <c r="X146" s="9" t="s">
        <v>348</v>
      </c>
      <c r="Y146" s="8" t="s">
        <v>343</v>
      </c>
      <c r="Z146" s="8" t="s">
        <v>352</v>
      </c>
      <c r="AA146" s="8" t="s">
        <v>468</v>
      </c>
      <c r="AB146" s="8"/>
      <c r="AC146" s="8"/>
      <c r="AD146" s="8"/>
      <c r="AE146" s="8"/>
      <c r="AF146" s="8"/>
      <c r="AG146" s="8"/>
      <c r="AH146" s="32" t="str">
        <f t="shared" si="6"/>
        <v>R</v>
      </c>
    </row>
    <row r="147" spans="1:38" ht="240" x14ac:dyDescent="0.2">
      <c r="A147" s="8" t="s">
        <v>299</v>
      </c>
      <c r="B147" s="9">
        <v>2021</v>
      </c>
      <c r="C147" s="9" t="s">
        <v>749</v>
      </c>
      <c r="D147" s="10">
        <v>42027</v>
      </c>
      <c r="E147" s="9" t="s">
        <v>15</v>
      </c>
      <c r="F147" s="9" t="s">
        <v>157</v>
      </c>
      <c r="G147" s="9" t="s">
        <v>158</v>
      </c>
      <c r="H147" s="9" t="s">
        <v>18</v>
      </c>
      <c r="I147" s="9" t="s">
        <v>296</v>
      </c>
      <c r="J147" s="9">
        <v>8391945</v>
      </c>
      <c r="K147" s="9" t="s">
        <v>297</v>
      </c>
      <c r="L147" s="9" t="s">
        <v>298</v>
      </c>
      <c r="M147" s="9" t="s">
        <v>22</v>
      </c>
      <c r="N147" s="8"/>
      <c r="O147" s="9" t="s">
        <v>315</v>
      </c>
      <c r="P147" s="9"/>
      <c r="Q147" s="9" t="str">
        <f t="shared" si="7"/>
        <v>SI</v>
      </c>
      <c r="R147" s="9" t="s">
        <v>316</v>
      </c>
      <c r="S147" s="10" t="s">
        <v>370</v>
      </c>
      <c r="T147" s="23">
        <v>42075</v>
      </c>
      <c r="U147" s="23"/>
      <c r="V147" s="11" t="s">
        <v>832</v>
      </c>
      <c r="W147" s="9"/>
      <c r="X147" s="9" t="s">
        <v>349</v>
      </c>
      <c r="Y147" s="8" t="s">
        <v>344</v>
      </c>
      <c r="Z147" s="8" t="s">
        <v>353</v>
      </c>
      <c r="AA147" s="8" t="s">
        <v>903</v>
      </c>
      <c r="AB147" s="8"/>
      <c r="AC147" s="22"/>
      <c r="AD147" s="8" t="s">
        <v>961</v>
      </c>
      <c r="AE147" s="8"/>
      <c r="AF147" s="8"/>
      <c r="AG147" s="8"/>
      <c r="AH147" s="32" t="str">
        <f t="shared" si="6"/>
        <v>A</v>
      </c>
    </row>
    <row r="148" spans="1:38" ht="90" customHeight="1" x14ac:dyDescent="0.2">
      <c r="A148" s="8" t="s">
        <v>181</v>
      </c>
      <c r="B148" s="9">
        <v>4019</v>
      </c>
      <c r="C148" s="9" t="s">
        <v>751</v>
      </c>
      <c r="D148" s="10">
        <v>42031</v>
      </c>
      <c r="E148" s="9" t="s">
        <v>24</v>
      </c>
      <c r="F148" s="9" t="s">
        <v>174</v>
      </c>
      <c r="G148" s="9" t="s">
        <v>175</v>
      </c>
      <c r="H148" s="9" t="s">
        <v>18</v>
      </c>
      <c r="I148" s="9" t="s">
        <v>176</v>
      </c>
      <c r="J148" s="9">
        <v>1035580315</v>
      </c>
      <c r="K148" s="9" t="s">
        <v>43</v>
      </c>
      <c r="L148" s="9" t="s">
        <v>177</v>
      </c>
      <c r="M148" s="9" t="s">
        <v>22</v>
      </c>
      <c r="N148" s="8"/>
      <c r="O148" s="9" t="s">
        <v>320</v>
      </c>
      <c r="P148" s="9"/>
      <c r="Q148" s="9" t="str">
        <f t="shared" si="7"/>
        <v>SI</v>
      </c>
      <c r="R148" s="8" t="s">
        <v>321</v>
      </c>
      <c r="S148" s="11">
        <v>42046</v>
      </c>
      <c r="T148" s="24">
        <v>42046</v>
      </c>
      <c r="U148" s="24"/>
      <c r="V148" s="11" t="s">
        <v>833</v>
      </c>
      <c r="W148" s="18"/>
      <c r="X148" s="8"/>
      <c r="Y148" s="8"/>
      <c r="Z148" s="8" t="s">
        <v>338</v>
      </c>
      <c r="AA148" s="8"/>
      <c r="AB148" s="8"/>
      <c r="AC148" s="8"/>
      <c r="AD148" s="8"/>
      <c r="AE148" s="8"/>
      <c r="AF148" s="8"/>
      <c r="AG148" s="8"/>
      <c r="AH148" s="32" t="str">
        <f t="shared" si="6"/>
        <v>Resuelto</v>
      </c>
    </row>
    <row r="149" spans="1:38" ht="394" x14ac:dyDescent="0.2">
      <c r="A149" s="8" t="s">
        <v>226</v>
      </c>
      <c r="B149" s="9">
        <v>3000</v>
      </c>
      <c r="C149" s="9" t="s">
        <v>750</v>
      </c>
      <c r="D149" s="10">
        <v>41878</v>
      </c>
      <c r="E149" s="9" t="s">
        <v>205</v>
      </c>
      <c r="F149" s="9" t="s">
        <v>206</v>
      </c>
      <c r="G149" s="9" t="s">
        <v>23</v>
      </c>
      <c r="H149" s="9" t="s">
        <v>18</v>
      </c>
      <c r="I149" s="9" t="s">
        <v>207</v>
      </c>
      <c r="J149" s="9">
        <v>98786457</v>
      </c>
      <c r="K149" s="9" t="s">
        <v>58</v>
      </c>
      <c r="L149" s="9" t="s">
        <v>208</v>
      </c>
      <c r="M149" s="9" t="s">
        <v>22</v>
      </c>
      <c r="N149" s="8"/>
      <c r="O149" s="9" t="s">
        <v>320</v>
      </c>
      <c r="P149" s="9"/>
      <c r="Q149" s="9" t="str">
        <f t="shared" si="7"/>
        <v>SI</v>
      </c>
      <c r="R149" s="8" t="s">
        <v>227</v>
      </c>
      <c r="S149" s="23">
        <v>41932</v>
      </c>
      <c r="T149" s="23">
        <v>42055</v>
      </c>
      <c r="U149" s="23"/>
      <c r="V149" s="11" t="s">
        <v>834</v>
      </c>
      <c r="W149" s="8" t="s">
        <v>228</v>
      </c>
      <c r="X149" s="8"/>
      <c r="Y149" s="8"/>
      <c r="Z149" s="8"/>
      <c r="AA149" s="8" t="s">
        <v>457</v>
      </c>
      <c r="AB149" s="8"/>
      <c r="AC149" s="8"/>
      <c r="AD149" s="8"/>
      <c r="AE149" s="8"/>
      <c r="AF149" s="8"/>
      <c r="AG149" s="8"/>
      <c r="AH149" s="32" t="str">
        <f t="shared" si="6"/>
        <v>Resuelto</v>
      </c>
      <c r="AJ149" s="33" t="s">
        <v>1006</v>
      </c>
    </row>
    <row r="150" spans="1:38" ht="371.25" customHeight="1" x14ac:dyDescent="0.2">
      <c r="A150" s="8" t="s">
        <v>313</v>
      </c>
      <c r="B150" s="9">
        <v>5016</v>
      </c>
      <c r="C150" s="9" t="s">
        <v>512</v>
      </c>
      <c r="D150" s="10">
        <v>42031</v>
      </c>
      <c r="E150" s="9" t="s">
        <v>54</v>
      </c>
      <c r="F150" s="9" t="s">
        <v>306</v>
      </c>
      <c r="G150" s="9" t="s">
        <v>307</v>
      </c>
      <c r="H150" s="9" t="s">
        <v>18</v>
      </c>
      <c r="I150" s="9" t="s">
        <v>308</v>
      </c>
      <c r="J150" s="9">
        <v>1017172103</v>
      </c>
      <c r="K150" s="9" t="s">
        <v>58</v>
      </c>
      <c r="L150" s="9" t="s">
        <v>309</v>
      </c>
      <c r="M150" s="9" t="s">
        <v>22</v>
      </c>
      <c r="N150" s="9"/>
      <c r="O150" s="9" t="s">
        <v>320</v>
      </c>
      <c r="P150" s="9"/>
      <c r="Q150" s="9" t="str">
        <f t="shared" si="7"/>
        <v>SI</v>
      </c>
      <c r="R150" s="8" t="s">
        <v>314</v>
      </c>
      <c r="S150" s="11">
        <v>42045</v>
      </c>
      <c r="T150" s="23">
        <v>42070</v>
      </c>
      <c r="U150" s="23"/>
      <c r="V150" s="11" t="s">
        <v>934</v>
      </c>
      <c r="W150" s="17"/>
      <c r="X150" s="17"/>
      <c r="Y150" s="8" t="s">
        <v>346</v>
      </c>
      <c r="Z150" s="18"/>
      <c r="AA150" s="8" t="s">
        <v>757</v>
      </c>
      <c r="AB150" s="8"/>
      <c r="AC150" s="8" t="s">
        <v>933</v>
      </c>
      <c r="AD150" s="8"/>
      <c r="AE150" s="8"/>
      <c r="AF150" s="17"/>
      <c r="AG150" s="17"/>
      <c r="AH150" s="32" t="str">
        <f t="shared" si="6"/>
        <v>Resuelto</v>
      </c>
      <c r="AJ150" s="33" t="s">
        <v>1007</v>
      </c>
      <c r="AK150" s="33" t="s">
        <v>1008</v>
      </c>
    </row>
    <row r="151" spans="1:38" ht="90" customHeight="1" x14ac:dyDescent="0.2">
      <c r="A151" s="8" t="s">
        <v>313</v>
      </c>
      <c r="B151" s="9">
        <v>9006</v>
      </c>
      <c r="C151" s="9" t="s">
        <v>754</v>
      </c>
      <c r="D151" s="10">
        <v>42040</v>
      </c>
      <c r="E151" s="9" t="s">
        <v>96</v>
      </c>
      <c r="F151" s="9" t="s">
        <v>222</v>
      </c>
      <c r="G151" s="9" t="s">
        <v>310</v>
      </c>
      <c r="H151" s="9" t="s">
        <v>18</v>
      </c>
      <c r="I151" s="9" t="s">
        <v>311</v>
      </c>
      <c r="J151" s="9">
        <v>1152688682</v>
      </c>
      <c r="K151" s="9" t="s">
        <v>58</v>
      </c>
      <c r="L151" s="9" t="s">
        <v>312</v>
      </c>
      <c r="M151" s="9" t="s">
        <v>29</v>
      </c>
      <c r="N151" s="9"/>
      <c r="O151" s="9" t="s">
        <v>320</v>
      </c>
      <c r="P151" s="9"/>
      <c r="Q151" s="9" t="str">
        <f t="shared" si="7"/>
        <v>SI</v>
      </c>
      <c r="R151" s="8" t="s">
        <v>318</v>
      </c>
      <c r="S151" s="11" t="s">
        <v>371</v>
      </c>
      <c r="T151" s="23">
        <v>42047</v>
      </c>
      <c r="U151" s="23"/>
      <c r="V151" s="11" t="s">
        <v>835</v>
      </c>
      <c r="W151" s="17"/>
      <c r="X151" s="17"/>
      <c r="Y151" s="8" t="s">
        <v>328</v>
      </c>
      <c r="Z151" s="8" t="s">
        <v>327</v>
      </c>
      <c r="AA151" s="8"/>
      <c r="AB151" s="8" t="s">
        <v>518</v>
      </c>
      <c r="AC151" s="8"/>
      <c r="AD151" s="8"/>
      <c r="AE151" s="8"/>
      <c r="AF151" s="17"/>
      <c r="AG151" s="17"/>
      <c r="AH151" s="32" t="str">
        <f t="shared" si="6"/>
        <v>Resuelto</v>
      </c>
      <c r="AJ151" s="33" t="s">
        <v>1006</v>
      </c>
    </row>
    <row r="152" spans="1:38" ht="168.75" customHeight="1" x14ac:dyDescent="0.2">
      <c r="A152" s="8" t="s">
        <v>430</v>
      </c>
      <c r="B152" s="9">
        <v>7023</v>
      </c>
      <c r="C152" s="9" t="s">
        <v>752</v>
      </c>
      <c r="D152" s="10">
        <v>42047</v>
      </c>
      <c r="E152" s="9" t="s">
        <v>45</v>
      </c>
      <c r="F152" s="9" t="s">
        <v>394</v>
      </c>
      <c r="G152" s="9" t="s">
        <v>395</v>
      </c>
      <c r="H152" s="9" t="s">
        <v>18</v>
      </c>
      <c r="I152" s="9" t="s">
        <v>396</v>
      </c>
      <c r="J152" s="9">
        <v>15486507</v>
      </c>
      <c r="K152" s="9" t="s">
        <v>43</v>
      </c>
      <c r="L152" s="9" t="s">
        <v>397</v>
      </c>
      <c r="M152" s="9" t="s">
        <v>22</v>
      </c>
      <c r="N152" s="20"/>
      <c r="O152" s="9" t="s">
        <v>315</v>
      </c>
      <c r="P152" s="9"/>
      <c r="Q152" s="9" t="str">
        <f t="shared" si="7"/>
        <v>SI</v>
      </c>
      <c r="R152" s="8" t="s">
        <v>475</v>
      </c>
      <c r="S152" s="23">
        <v>42053</v>
      </c>
      <c r="T152" s="11">
        <v>42080</v>
      </c>
      <c r="U152" s="23"/>
      <c r="V152" s="11" t="s">
        <v>836</v>
      </c>
      <c r="W152" s="17"/>
      <c r="X152" s="17"/>
      <c r="Y152" s="17"/>
      <c r="Z152" s="17"/>
      <c r="AA152" s="8" t="s">
        <v>450</v>
      </c>
      <c r="AB152" s="8"/>
      <c r="AC152" s="8" t="s">
        <v>919</v>
      </c>
      <c r="AD152" s="8" t="s">
        <v>988</v>
      </c>
      <c r="AE152" s="8"/>
      <c r="AF152" s="17"/>
      <c r="AG152" s="17"/>
      <c r="AH152" s="32" t="str">
        <f t="shared" si="6"/>
        <v>V</v>
      </c>
      <c r="AL152" s="33"/>
    </row>
    <row r="153" spans="1:38" ht="202.5" customHeight="1" x14ac:dyDescent="0.2">
      <c r="A153" s="8" t="s">
        <v>430</v>
      </c>
      <c r="B153" s="9">
        <v>7024</v>
      </c>
      <c r="C153" s="9" t="s">
        <v>752</v>
      </c>
      <c r="D153" s="10">
        <v>42047</v>
      </c>
      <c r="E153" s="9" t="s">
        <v>45</v>
      </c>
      <c r="F153" s="9" t="s">
        <v>398</v>
      </c>
      <c r="G153" s="9" t="s">
        <v>395</v>
      </c>
      <c r="H153" s="9" t="s">
        <v>18</v>
      </c>
      <c r="I153" s="9" t="s">
        <v>399</v>
      </c>
      <c r="J153" s="9">
        <v>6695350</v>
      </c>
      <c r="K153" s="9" t="s">
        <v>43</v>
      </c>
      <c r="L153" s="9" t="s">
        <v>400</v>
      </c>
      <c r="M153" s="9" t="s">
        <v>22</v>
      </c>
      <c r="N153" s="20"/>
      <c r="O153" s="9" t="s">
        <v>315</v>
      </c>
      <c r="P153" s="9"/>
      <c r="Q153" s="9" t="str">
        <f t="shared" si="7"/>
        <v>SI</v>
      </c>
      <c r="R153" s="8" t="s">
        <v>436</v>
      </c>
      <c r="S153" s="23">
        <v>42052</v>
      </c>
      <c r="T153" s="23">
        <v>42052</v>
      </c>
      <c r="U153" s="23"/>
      <c r="V153" s="11" t="s">
        <v>837</v>
      </c>
      <c r="W153" s="17"/>
      <c r="X153" s="17"/>
      <c r="Y153" s="17"/>
      <c r="Z153" s="17"/>
      <c r="AA153" s="36" t="s">
        <v>432</v>
      </c>
      <c r="AB153" s="8"/>
      <c r="AC153" s="8"/>
      <c r="AD153" s="8"/>
      <c r="AE153" s="8"/>
      <c r="AF153" s="17"/>
      <c r="AG153" s="17"/>
      <c r="AH153" s="32" t="str">
        <f t="shared" si="6"/>
        <v>R</v>
      </c>
      <c r="AL153" s="33"/>
    </row>
    <row r="154" spans="1:38" ht="168.75" customHeight="1" x14ac:dyDescent="0.2">
      <c r="A154" s="8" t="s">
        <v>430</v>
      </c>
      <c r="B154" s="9">
        <v>7025</v>
      </c>
      <c r="C154" s="9" t="s">
        <v>752</v>
      </c>
      <c r="D154" s="10">
        <v>42047</v>
      </c>
      <c r="E154" s="9" t="s">
        <v>45</v>
      </c>
      <c r="F154" s="9" t="s">
        <v>398</v>
      </c>
      <c r="G154" s="9" t="s">
        <v>401</v>
      </c>
      <c r="H154" s="9" t="s">
        <v>18</v>
      </c>
      <c r="I154" s="9" t="s">
        <v>402</v>
      </c>
      <c r="J154" s="9">
        <v>24856265</v>
      </c>
      <c r="K154" s="9" t="s">
        <v>43</v>
      </c>
      <c r="L154" s="9" t="s">
        <v>403</v>
      </c>
      <c r="M154" s="9" t="s">
        <v>22</v>
      </c>
      <c r="N154" s="20"/>
      <c r="O154" s="9" t="s">
        <v>315</v>
      </c>
      <c r="P154" s="9"/>
      <c r="Q154" s="9" t="str">
        <f t="shared" si="7"/>
        <v>SI</v>
      </c>
      <c r="R154" s="8" t="s">
        <v>436</v>
      </c>
      <c r="S154" s="23">
        <v>42052</v>
      </c>
      <c r="T154" s="23">
        <v>42052</v>
      </c>
      <c r="U154" s="23"/>
      <c r="V154" s="11" t="s">
        <v>836</v>
      </c>
      <c r="W154" s="17"/>
      <c r="X154" s="17"/>
      <c r="Y154" s="17"/>
      <c r="Z154" s="17"/>
      <c r="AA154" s="36" t="s">
        <v>437</v>
      </c>
      <c r="AB154" s="8"/>
      <c r="AC154" s="8"/>
      <c r="AD154" s="8"/>
      <c r="AE154" s="8"/>
      <c r="AF154" s="17"/>
      <c r="AG154" s="17"/>
      <c r="AH154" s="32" t="str">
        <f t="shared" si="6"/>
        <v>R</v>
      </c>
      <c r="AL154" s="33"/>
    </row>
    <row r="155" spans="1:38" ht="157.5" customHeight="1" x14ac:dyDescent="0.2">
      <c r="A155" s="8" t="s">
        <v>430</v>
      </c>
      <c r="B155" s="9">
        <v>7026</v>
      </c>
      <c r="C155" s="9" t="s">
        <v>752</v>
      </c>
      <c r="D155" s="10">
        <v>42047</v>
      </c>
      <c r="E155" s="9" t="s">
        <v>45</v>
      </c>
      <c r="F155" s="9" t="s">
        <v>398</v>
      </c>
      <c r="G155" s="9" t="s">
        <v>404</v>
      </c>
      <c r="H155" s="9" t="s">
        <v>18</v>
      </c>
      <c r="I155" s="9" t="s">
        <v>405</v>
      </c>
      <c r="J155" s="9">
        <v>21562478</v>
      </c>
      <c r="K155" s="9" t="s">
        <v>43</v>
      </c>
      <c r="L155" s="9" t="s">
        <v>406</v>
      </c>
      <c r="M155" s="9" t="s">
        <v>22</v>
      </c>
      <c r="N155" s="20"/>
      <c r="O155" s="9" t="s">
        <v>315</v>
      </c>
      <c r="P155" s="9"/>
      <c r="Q155" s="9" t="str">
        <f t="shared" si="7"/>
        <v>SI</v>
      </c>
      <c r="R155" s="8" t="s">
        <v>436</v>
      </c>
      <c r="S155" s="23">
        <v>42052</v>
      </c>
      <c r="T155" s="23">
        <v>42052</v>
      </c>
      <c r="U155" s="23"/>
      <c r="V155" s="11" t="s">
        <v>890</v>
      </c>
      <c r="W155" s="17"/>
      <c r="X155" s="17"/>
      <c r="Y155" s="17"/>
      <c r="Z155" s="17"/>
      <c r="AA155" s="36" t="s">
        <v>433</v>
      </c>
      <c r="AB155" s="8"/>
      <c r="AC155" s="8"/>
      <c r="AD155" s="8"/>
      <c r="AE155" s="8"/>
      <c r="AF155" s="17"/>
      <c r="AG155" s="17"/>
      <c r="AH155" s="32" t="str">
        <f t="shared" si="6"/>
        <v>R</v>
      </c>
      <c r="AL155" s="33"/>
    </row>
    <row r="156" spans="1:38" ht="112.5" customHeight="1" x14ac:dyDescent="0.2">
      <c r="A156" s="8" t="s">
        <v>430</v>
      </c>
      <c r="B156" s="9">
        <v>7027</v>
      </c>
      <c r="C156" s="9" t="s">
        <v>752</v>
      </c>
      <c r="D156" s="10">
        <v>42048</v>
      </c>
      <c r="E156" s="9" t="s">
        <v>45</v>
      </c>
      <c r="F156" s="9" t="s">
        <v>407</v>
      </c>
      <c r="G156" s="9" t="s">
        <v>408</v>
      </c>
      <c r="H156" s="9" t="s">
        <v>18</v>
      </c>
      <c r="I156" s="9" t="s">
        <v>409</v>
      </c>
      <c r="J156" s="9">
        <v>1041149423</v>
      </c>
      <c r="K156" s="9" t="s">
        <v>43</v>
      </c>
      <c r="L156" s="9" t="s">
        <v>410</v>
      </c>
      <c r="M156" s="9" t="s">
        <v>22</v>
      </c>
      <c r="N156" s="20"/>
      <c r="O156" s="9" t="s">
        <v>315</v>
      </c>
      <c r="P156" s="9"/>
      <c r="Q156" s="9" t="str">
        <f t="shared" si="7"/>
        <v>SI</v>
      </c>
      <c r="R156" s="8" t="s">
        <v>475</v>
      </c>
      <c r="S156" s="23">
        <v>42053</v>
      </c>
      <c r="T156" s="11">
        <v>42080</v>
      </c>
      <c r="U156" s="23"/>
      <c r="V156" s="11" t="s">
        <v>891</v>
      </c>
      <c r="W156" s="17"/>
      <c r="X156" s="17"/>
      <c r="Y156" s="17"/>
      <c r="Z156" s="17"/>
      <c r="AA156" s="8" t="s">
        <v>451</v>
      </c>
      <c r="AB156" s="8"/>
      <c r="AC156" s="8" t="s">
        <v>919</v>
      </c>
      <c r="AD156" s="8" t="s">
        <v>987</v>
      </c>
      <c r="AE156" s="8"/>
      <c r="AF156" s="17"/>
      <c r="AG156" s="17"/>
      <c r="AH156" s="32" t="str">
        <f t="shared" si="6"/>
        <v>V</v>
      </c>
      <c r="AL156" s="33"/>
    </row>
    <row r="157" spans="1:38" ht="123.75" customHeight="1" x14ac:dyDescent="0.2">
      <c r="A157" s="8" t="s">
        <v>430</v>
      </c>
      <c r="B157" s="9">
        <v>8027</v>
      </c>
      <c r="C157" s="9" t="s">
        <v>753</v>
      </c>
      <c r="D157" s="10">
        <v>42047</v>
      </c>
      <c r="E157" s="9" t="s">
        <v>45</v>
      </c>
      <c r="F157" s="9" t="s">
        <v>411</v>
      </c>
      <c r="G157" s="9" t="s">
        <v>412</v>
      </c>
      <c r="H157" s="9" t="s">
        <v>18</v>
      </c>
      <c r="I157" s="9" t="s">
        <v>413</v>
      </c>
      <c r="J157" s="9">
        <v>98509185</v>
      </c>
      <c r="K157" s="9" t="s">
        <v>43</v>
      </c>
      <c r="L157" s="9" t="s">
        <v>414</v>
      </c>
      <c r="M157" s="9" t="s">
        <v>22</v>
      </c>
      <c r="N157" s="20"/>
      <c r="O157" s="9" t="s">
        <v>315</v>
      </c>
      <c r="P157" s="9"/>
      <c r="Q157" s="9" t="str">
        <f t="shared" si="7"/>
        <v>SI</v>
      </c>
      <c r="R157" s="8" t="s">
        <v>475</v>
      </c>
      <c r="S157" s="23">
        <v>42053</v>
      </c>
      <c r="T157" s="11">
        <v>42069</v>
      </c>
      <c r="U157" s="23"/>
      <c r="V157" s="11" t="s">
        <v>894</v>
      </c>
      <c r="W157" s="17"/>
      <c r="X157" s="17"/>
      <c r="Y157" s="17"/>
      <c r="Z157" s="31"/>
      <c r="AA157" s="8" t="s">
        <v>449</v>
      </c>
      <c r="AB157" s="8"/>
      <c r="AC157" s="8" t="s">
        <v>919</v>
      </c>
      <c r="AD157" s="8"/>
      <c r="AE157" s="8"/>
      <c r="AF157" s="17"/>
      <c r="AG157" s="17"/>
      <c r="AH157" s="32" t="str">
        <f t="shared" si="6"/>
        <v>R</v>
      </c>
      <c r="AL157" s="33"/>
    </row>
    <row r="158" spans="1:38" ht="157.5" customHeight="1" x14ac:dyDescent="0.2">
      <c r="A158" s="8" t="s">
        <v>430</v>
      </c>
      <c r="B158" s="9">
        <v>8028</v>
      </c>
      <c r="C158" s="9" t="s">
        <v>753</v>
      </c>
      <c r="D158" s="10">
        <v>42048</v>
      </c>
      <c r="E158" s="9" t="s">
        <v>45</v>
      </c>
      <c r="F158" s="9" t="s">
        <v>95</v>
      </c>
      <c r="G158" s="9" t="s">
        <v>23</v>
      </c>
      <c r="H158" s="9" t="s">
        <v>23</v>
      </c>
      <c r="I158" s="9" t="s">
        <v>415</v>
      </c>
      <c r="J158" s="9">
        <v>1037322244</v>
      </c>
      <c r="K158" s="9" t="s">
        <v>297</v>
      </c>
      <c r="L158" s="9" t="s">
        <v>416</v>
      </c>
      <c r="M158" s="9" t="s">
        <v>22</v>
      </c>
      <c r="N158" s="20"/>
      <c r="O158" s="9" t="s">
        <v>320</v>
      </c>
      <c r="P158" s="9"/>
      <c r="Q158" s="9" t="str">
        <f t="shared" si="7"/>
        <v>SI</v>
      </c>
      <c r="R158" s="8" t="s">
        <v>389</v>
      </c>
      <c r="S158" s="23">
        <v>42052</v>
      </c>
      <c r="T158" s="11">
        <v>42080</v>
      </c>
      <c r="U158" s="23"/>
      <c r="V158" s="11" t="s">
        <v>895</v>
      </c>
      <c r="W158" s="17"/>
      <c r="X158" s="17"/>
      <c r="Y158" s="17"/>
      <c r="Z158" s="17"/>
      <c r="AA158" s="8" t="s">
        <v>443</v>
      </c>
      <c r="AB158" s="8" t="s">
        <v>896</v>
      </c>
      <c r="AC158" s="8" t="s">
        <v>941</v>
      </c>
      <c r="AD158" s="8" t="s">
        <v>963</v>
      </c>
      <c r="AE158" s="8"/>
      <c r="AF158" s="17"/>
      <c r="AG158" s="17"/>
      <c r="AH158" s="32" t="str">
        <f t="shared" si="6"/>
        <v>Resuelto</v>
      </c>
      <c r="AJ158" s="33" t="s">
        <v>1007</v>
      </c>
      <c r="AK158" s="33" t="s">
        <v>1008</v>
      </c>
      <c r="AL158" s="33"/>
    </row>
    <row r="159" spans="1:38" ht="101.25" customHeight="1" x14ac:dyDescent="0.2">
      <c r="A159" s="8" t="s">
        <v>430</v>
      </c>
      <c r="B159" s="9">
        <v>8029</v>
      </c>
      <c r="C159" s="9" t="s">
        <v>753</v>
      </c>
      <c r="D159" s="10">
        <v>42048</v>
      </c>
      <c r="E159" s="9" t="s">
        <v>45</v>
      </c>
      <c r="F159" s="9" t="s">
        <v>417</v>
      </c>
      <c r="G159" s="9" t="s">
        <v>418</v>
      </c>
      <c r="H159" s="9" t="s">
        <v>18</v>
      </c>
      <c r="I159" s="9" t="s">
        <v>419</v>
      </c>
      <c r="J159" s="9">
        <v>98602280</v>
      </c>
      <c r="K159" s="9" t="s">
        <v>43</v>
      </c>
      <c r="L159" s="9" t="s">
        <v>420</v>
      </c>
      <c r="M159" s="9" t="s">
        <v>22</v>
      </c>
      <c r="N159" s="20"/>
      <c r="O159" s="9" t="s">
        <v>315</v>
      </c>
      <c r="P159" s="9"/>
      <c r="Q159" s="9" t="str">
        <f t="shared" si="7"/>
        <v>SI</v>
      </c>
      <c r="R159" s="8" t="s">
        <v>475</v>
      </c>
      <c r="S159" s="23">
        <v>42053</v>
      </c>
      <c r="T159" s="11">
        <v>42069</v>
      </c>
      <c r="U159" s="23"/>
      <c r="V159" s="11" t="s">
        <v>838</v>
      </c>
      <c r="W159" s="17"/>
      <c r="X159" s="17"/>
      <c r="Y159" s="17"/>
      <c r="Z159" s="17"/>
      <c r="AA159" s="8" t="s">
        <v>452</v>
      </c>
      <c r="AB159" s="8"/>
      <c r="AC159" s="8" t="s">
        <v>919</v>
      </c>
      <c r="AD159" s="8"/>
      <c r="AE159" s="8"/>
      <c r="AF159" s="17"/>
      <c r="AG159" s="17"/>
      <c r="AH159" s="32" t="str">
        <f t="shared" si="6"/>
        <v>R</v>
      </c>
      <c r="AL159" s="33"/>
    </row>
    <row r="160" spans="1:38" ht="90" customHeight="1" x14ac:dyDescent="0.2">
      <c r="A160" s="8" t="s">
        <v>430</v>
      </c>
      <c r="B160" s="9">
        <v>9007</v>
      </c>
      <c r="C160" s="9" t="s">
        <v>754</v>
      </c>
      <c r="D160" s="10">
        <v>42048</v>
      </c>
      <c r="E160" s="9" t="s">
        <v>96</v>
      </c>
      <c r="F160" s="9" t="s">
        <v>98</v>
      </c>
      <c r="G160" s="9" t="s">
        <v>23</v>
      </c>
      <c r="H160" s="9" t="s">
        <v>65</v>
      </c>
      <c r="I160" s="9" t="s">
        <v>421</v>
      </c>
      <c r="J160" s="9">
        <v>42653623</v>
      </c>
      <c r="K160" s="9" t="s">
        <v>58</v>
      </c>
      <c r="L160" s="9" t="s">
        <v>422</v>
      </c>
      <c r="M160" s="9" t="s">
        <v>423</v>
      </c>
      <c r="N160" s="20"/>
      <c r="O160" s="9" t="s">
        <v>315</v>
      </c>
      <c r="P160" s="9"/>
      <c r="Q160" s="9" t="str">
        <f t="shared" si="7"/>
        <v>SI</v>
      </c>
      <c r="R160" s="8" t="s">
        <v>439</v>
      </c>
      <c r="S160" s="21"/>
      <c r="T160" s="23">
        <v>42066</v>
      </c>
      <c r="U160" s="23"/>
      <c r="V160" s="11" t="s">
        <v>856</v>
      </c>
      <c r="W160" s="17"/>
      <c r="X160" s="17"/>
      <c r="Y160" s="17"/>
      <c r="Z160" s="17"/>
      <c r="AA160" s="8" t="s">
        <v>482</v>
      </c>
      <c r="AB160" s="8"/>
      <c r="AC160" s="8" t="s">
        <v>874</v>
      </c>
      <c r="AD160" s="8"/>
      <c r="AE160" s="8"/>
      <c r="AF160" s="17"/>
      <c r="AG160" s="17"/>
      <c r="AH160" s="32" t="str">
        <f t="shared" si="6"/>
        <v>R</v>
      </c>
    </row>
    <row r="161" spans="1:38" ht="146.25" customHeight="1" x14ac:dyDescent="0.2">
      <c r="A161" s="8" t="s">
        <v>430</v>
      </c>
      <c r="B161" s="9">
        <v>2022</v>
      </c>
      <c r="C161" s="9" t="s">
        <v>749</v>
      </c>
      <c r="D161" s="10">
        <v>42047</v>
      </c>
      <c r="E161" s="9" t="s">
        <v>15</v>
      </c>
      <c r="F161" s="9" t="s">
        <v>424</v>
      </c>
      <c r="G161" s="9" t="s">
        <v>425</v>
      </c>
      <c r="H161" s="9" t="s">
        <v>18</v>
      </c>
      <c r="I161" s="9" t="s">
        <v>426</v>
      </c>
      <c r="J161" s="9">
        <v>3510349</v>
      </c>
      <c r="K161" s="9" t="s">
        <v>20</v>
      </c>
      <c r="L161" s="9" t="s">
        <v>427</v>
      </c>
      <c r="M161" s="9" t="s">
        <v>22</v>
      </c>
      <c r="N161" s="20"/>
      <c r="O161" s="9" t="s">
        <v>315</v>
      </c>
      <c r="P161" s="9"/>
      <c r="Q161" s="9" t="str">
        <f t="shared" si="7"/>
        <v>SI</v>
      </c>
      <c r="R161" s="8" t="s">
        <v>476</v>
      </c>
      <c r="S161" s="21"/>
      <c r="T161" s="11">
        <v>42058</v>
      </c>
      <c r="U161" s="11"/>
      <c r="V161" s="11"/>
      <c r="W161" s="17"/>
      <c r="X161" s="17"/>
      <c r="Y161" s="17"/>
      <c r="Z161" s="17"/>
      <c r="AA161" s="8" t="s">
        <v>471</v>
      </c>
      <c r="AB161" s="8"/>
      <c r="AC161" s="8"/>
      <c r="AD161" s="8"/>
      <c r="AE161" s="8"/>
      <c r="AF161" s="17"/>
      <c r="AG161" s="17"/>
      <c r="AH161" s="32" t="str">
        <f t="shared" si="6"/>
        <v>R</v>
      </c>
    </row>
    <row r="162" spans="1:38" ht="123.75" customHeight="1" x14ac:dyDescent="0.2">
      <c r="A162" s="8" t="s">
        <v>430</v>
      </c>
      <c r="B162" s="9">
        <v>11014</v>
      </c>
      <c r="C162" s="9" t="s">
        <v>756</v>
      </c>
      <c r="D162" s="10">
        <v>42048</v>
      </c>
      <c r="E162" s="9" t="s">
        <v>54</v>
      </c>
      <c r="F162" s="9" t="s">
        <v>239</v>
      </c>
      <c r="G162" s="9" t="s">
        <v>23</v>
      </c>
      <c r="H162" s="9" t="s">
        <v>65</v>
      </c>
      <c r="I162" s="9" t="s">
        <v>428</v>
      </c>
      <c r="J162" s="9">
        <v>32538078</v>
      </c>
      <c r="K162" s="9" t="s">
        <v>43</v>
      </c>
      <c r="L162" s="9" t="s">
        <v>429</v>
      </c>
      <c r="M162" s="9" t="s">
        <v>22</v>
      </c>
      <c r="N162" s="20"/>
      <c r="O162" s="9" t="s">
        <v>320</v>
      </c>
      <c r="P162" s="9"/>
      <c r="Q162" s="9" t="str">
        <f t="shared" si="7"/>
        <v>SI</v>
      </c>
      <c r="R162" s="8" t="s">
        <v>442</v>
      </c>
      <c r="S162" s="21"/>
      <c r="T162" s="23">
        <v>42053</v>
      </c>
      <c r="U162" s="23"/>
      <c r="V162" s="11"/>
      <c r="W162" s="17"/>
      <c r="X162" s="17"/>
      <c r="Y162" s="17"/>
      <c r="Z162" s="17"/>
      <c r="AA162" s="8" t="s">
        <v>440</v>
      </c>
      <c r="AB162" s="8"/>
      <c r="AC162" s="8"/>
      <c r="AD162" s="8"/>
      <c r="AE162" s="8"/>
      <c r="AF162" s="17"/>
      <c r="AG162" s="17"/>
      <c r="AH162" s="32" t="str">
        <f t="shared" ref="AH162:AH183" si="8">IF(O162="Por iniciar","Por iniciar",(IF(O162&lt;&gt;"Resuelto",IF($AI$1-T162&lt;8,"V",IF($AI$1-T162&lt;15,"A","R")),"Resuelto")))</f>
        <v>Resuelto</v>
      </c>
    </row>
    <row r="163" spans="1:38" ht="112.5" customHeight="1" x14ac:dyDescent="0.2">
      <c r="A163" s="8" t="s">
        <v>506</v>
      </c>
      <c r="B163" s="9">
        <v>5017</v>
      </c>
      <c r="C163" s="9" t="s">
        <v>512</v>
      </c>
      <c r="D163" s="10">
        <v>42053</v>
      </c>
      <c r="E163" s="9" t="s">
        <v>54</v>
      </c>
      <c r="F163" s="9" t="s">
        <v>209</v>
      </c>
      <c r="G163" s="9" t="s">
        <v>210</v>
      </c>
      <c r="H163" s="9" t="s">
        <v>18</v>
      </c>
      <c r="I163" s="9" t="s">
        <v>483</v>
      </c>
      <c r="J163" s="9">
        <v>43534420</v>
      </c>
      <c r="K163" s="9" t="s">
        <v>43</v>
      </c>
      <c r="L163" s="9" t="s">
        <v>484</v>
      </c>
      <c r="M163" s="9" t="s">
        <v>22</v>
      </c>
      <c r="N163" s="7"/>
      <c r="O163" s="9" t="s">
        <v>320</v>
      </c>
      <c r="P163" s="9"/>
      <c r="Q163" s="9" t="str">
        <f t="shared" si="7"/>
        <v>SI</v>
      </c>
      <c r="R163" s="8" t="s">
        <v>948</v>
      </c>
      <c r="S163" s="11">
        <v>42060</v>
      </c>
      <c r="T163" s="11">
        <v>42082</v>
      </c>
      <c r="U163" s="11"/>
      <c r="V163" s="11"/>
      <c r="W163" s="8"/>
      <c r="X163" s="8"/>
      <c r="Y163" s="8"/>
      <c r="Z163" s="8"/>
      <c r="AA163" s="8"/>
      <c r="AB163" s="8" t="s">
        <v>779</v>
      </c>
      <c r="AC163" s="8" t="s">
        <v>932</v>
      </c>
      <c r="AD163" s="8"/>
      <c r="AE163" s="8" t="s">
        <v>999</v>
      </c>
      <c r="AF163" s="8"/>
      <c r="AG163" s="8"/>
      <c r="AH163" s="32" t="str">
        <f t="shared" si="8"/>
        <v>Resuelto</v>
      </c>
      <c r="AJ163" s="33" t="s">
        <v>1007</v>
      </c>
      <c r="AK163" s="33" t="s">
        <v>1008</v>
      </c>
    </row>
    <row r="164" spans="1:38" ht="112.5" customHeight="1" x14ac:dyDescent="0.2">
      <c r="A164" s="8" t="s">
        <v>506</v>
      </c>
      <c r="B164" s="9">
        <v>5018</v>
      </c>
      <c r="C164" s="9" t="s">
        <v>512</v>
      </c>
      <c r="D164" s="10">
        <v>42048</v>
      </c>
      <c r="E164" s="9" t="s">
        <v>54</v>
      </c>
      <c r="F164" s="9" t="s">
        <v>123</v>
      </c>
      <c r="G164" s="9" t="s">
        <v>23</v>
      </c>
      <c r="H164" s="9" t="s">
        <v>65</v>
      </c>
      <c r="I164" s="9" t="s">
        <v>483</v>
      </c>
      <c r="J164" s="9">
        <v>43534420</v>
      </c>
      <c r="K164" s="9" t="s">
        <v>58</v>
      </c>
      <c r="L164" s="9" t="s">
        <v>485</v>
      </c>
      <c r="M164" s="9" t="s">
        <v>22</v>
      </c>
      <c r="N164" s="8"/>
      <c r="O164" s="9" t="s">
        <v>320</v>
      </c>
      <c r="P164" s="9"/>
      <c r="Q164" s="9" t="str">
        <f t="shared" si="7"/>
        <v>SI</v>
      </c>
      <c r="R164" s="8"/>
      <c r="S164" s="11">
        <v>42060</v>
      </c>
      <c r="T164" s="11">
        <v>42074</v>
      </c>
      <c r="U164" s="8"/>
      <c r="V164" s="11"/>
      <c r="W164" s="8"/>
      <c r="X164" s="8"/>
      <c r="Y164" s="8"/>
      <c r="Z164" s="8"/>
      <c r="AA164" s="8"/>
      <c r="AB164" s="8" t="s">
        <v>778</v>
      </c>
      <c r="AC164" s="8" t="s">
        <v>950</v>
      </c>
      <c r="AD164" s="8"/>
      <c r="AE164" s="8"/>
      <c r="AF164" s="8"/>
      <c r="AG164" s="8"/>
      <c r="AH164" s="32" t="str">
        <f t="shared" si="8"/>
        <v>Resuelto</v>
      </c>
      <c r="AJ164" s="33" t="s">
        <v>1007</v>
      </c>
      <c r="AK164" s="33" t="s">
        <v>1008</v>
      </c>
    </row>
    <row r="165" spans="1:38" ht="115.5" customHeight="1" x14ac:dyDescent="0.2">
      <c r="A165" s="8" t="s">
        <v>506</v>
      </c>
      <c r="B165" s="9">
        <v>8030</v>
      </c>
      <c r="C165" s="9" t="s">
        <v>753</v>
      </c>
      <c r="D165" s="10">
        <v>42053</v>
      </c>
      <c r="E165" s="9" t="s">
        <v>45</v>
      </c>
      <c r="F165" s="9" t="s">
        <v>411</v>
      </c>
      <c r="G165" s="9" t="s">
        <v>486</v>
      </c>
      <c r="H165" s="9" t="s">
        <v>18</v>
      </c>
      <c r="I165" s="9" t="s">
        <v>487</v>
      </c>
      <c r="J165" s="9">
        <v>3052039</v>
      </c>
      <c r="K165" s="9" t="s">
        <v>58</v>
      </c>
      <c r="L165" s="9" t="s">
        <v>488</v>
      </c>
      <c r="M165" s="9" t="s">
        <v>22</v>
      </c>
      <c r="N165" s="8"/>
      <c r="O165" s="9" t="s">
        <v>320</v>
      </c>
      <c r="P165" s="9"/>
      <c r="Q165" s="9" t="str">
        <f t="shared" si="7"/>
        <v>SI</v>
      </c>
      <c r="R165" s="8" t="s">
        <v>949</v>
      </c>
      <c r="S165" s="11">
        <v>42060</v>
      </c>
      <c r="T165" s="11">
        <v>42082</v>
      </c>
      <c r="U165" s="8"/>
      <c r="V165" s="11" t="s">
        <v>893</v>
      </c>
      <c r="W165" s="8"/>
      <c r="X165" s="8"/>
      <c r="Y165" s="8"/>
      <c r="Z165" s="8"/>
      <c r="AA165" s="8"/>
      <c r="AB165" s="8" t="s">
        <v>772</v>
      </c>
      <c r="AC165" s="8" t="s">
        <v>919</v>
      </c>
      <c r="AD165" s="8" t="s">
        <v>985</v>
      </c>
      <c r="AE165" s="8" t="s">
        <v>999</v>
      </c>
      <c r="AF165" s="8"/>
      <c r="AG165" s="8"/>
      <c r="AH165" s="32" t="str">
        <f t="shared" si="8"/>
        <v>Resuelto</v>
      </c>
      <c r="AJ165" s="33" t="s">
        <v>1007</v>
      </c>
      <c r="AK165" s="33" t="s">
        <v>1008</v>
      </c>
      <c r="AL165" s="33"/>
    </row>
    <row r="166" spans="1:38" ht="96" x14ac:dyDescent="0.2">
      <c r="A166" s="8" t="s">
        <v>506</v>
      </c>
      <c r="B166" s="9">
        <v>8031</v>
      </c>
      <c r="C166" s="9" t="s">
        <v>753</v>
      </c>
      <c r="D166" s="10">
        <v>42053</v>
      </c>
      <c r="E166" s="9" t="s">
        <v>45</v>
      </c>
      <c r="F166" s="9" t="s">
        <v>411</v>
      </c>
      <c r="G166" s="9" t="s">
        <v>486</v>
      </c>
      <c r="H166" s="9" t="s">
        <v>18</v>
      </c>
      <c r="I166" s="9" t="s">
        <v>489</v>
      </c>
      <c r="J166" s="9">
        <v>71493191</v>
      </c>
      <c r="K166" s="9" t="s">
        <v>43</v>
      </c>
      <c r="L166" s="9" t="s">
        <v>490</v>
      </c>
      <c r="M166" s="9" t="s">
        <v>22</v>
      </c>
      <c r="N166" s="8"/>
      <c r="O166" s="9" t="s">
        <v>320</v>
      </c>
      <c r="P166" s="9"/>
      <c r="Q166" s="9" t="str">
        <f t="shared" si="7"/>
        <v>SI</v>
      </c>
      <c r="R166" s="8" t="s">
        <v>949</v>
      </c>
      <c r="S166" s="11">
        <v>42060</v>
      </c>
      <c r="T166" s="11">
        <v>42082</v>
      </c>
      <c r="U166" s="8"/>
      <c r="V166" s="11" t="s">
        <v>892</v>
      </c>
      <c r="W166" s="8"/>
      <c r="X166" s="8"/>
      <c r="Y166" s="8"/>
      <c r="Z166" s="8"/>
      <c r="AA166" s="8"/>
      <c r="AB166" s="8" t="s">
        <v>772</v>
      </c>
      <c r="AC166" s="8" t="s">
        <v>919</v>
      </c>
      <c r="AD166" s="8" t="s">
        <v>986</v>
      </c>
      <c r="AE166" s="8" t="s">
        <v>999</v>
      </c>
      <c r="AF166" s="8"/>
      <c r="AG166" s="8"/>
      <c r="AH166" s="32" t="str">
        <f t="shared" si="8"/>
        <v>Resuelto</v>
      </c>
      <c r="AJ166" s="33" t="s">
        <v>1007</v>
      </c>
      <c r="AK166" s="33" t="s">
        <v>1008</v>
      </c>
      <c r="AL166" s="33"/>
    </row>
    <row r="167" spans="1:38" ht="78.75" customHeight="1" x14ac:dyDescent="0.2">
      <c r="A167" s="8" t="s">
        <v>506</v>
      </c>
      <c r="B167" s="9">
        <v>11015</v>
      </c>
      <c r="C167" s="9" t="s">
        <v>756</v>
      </c>
      <c r="D167" s="10">
        <v>42053</v>
      </c>
      <c r="E167" s="9" t="s">
        <v>54</v>
      </c>
      <c r="F167" s="9" t="s">
        <v>239</v>
      </c>
      <c r="G167" s="9" t="s">
        <v>240</v>
      </c>
      <c r="H167" s="9" t="s">
        <v>18</v>
      </c>
      <c r="I167" s="9" t="s">
        <v>491</v>
      </c>
      <c r="J167" s="9">
        <v>15425275</v>
      </c>
      <c r="K167" s="9" t="s">
        <v>58</v>
      </c>
      <c r="L167" s="9" t="s">
        <v>492</v>
      </c>
      <c r="M167" s="9" t="s">
        <v>22</v>
      </c>
      <c r="N167" s="8"/>
      <c r="O167" s="8" t="s">
        <v>320</v>
      </c>
      <c r="P167" s="9"/>
      <c r="Q167" s="9" t="str">
        <f t="shared" si="7"/>
        <v>SI</v>
      </c>
      <c r="R167" s="11" t="s">
        <v>516</v>
      </c>
      <c r="S167" s="8"/>
      <c r="T167" s="11">
        <v>42073</v>
      </c>
      <c r="U167" s="8"/>
      <c r="V167" s="11"/>
      <c r="W167" s="8"/>
      <c r="X167" s="8"/>
      <c r="Y167" s="8"/>
      <c r="Z167" s="8"/>
      <c r="AA167" s="8"/>
      <c r="AB167" s="8" t="s">
        <v>515</v>
      </c>
      <c r="AC167" s="8" t="s">
        <v>942</v>
      </c>
      <c r="AD167" s="8"/>
      <c r="AE167" s="8"/>
      <c r="AF167" s="8"/>
      <c r="AG167" s="8"/>
      <c r="AH167" s="32" t="str">
        <f t="shared" si="8"/>
        <v>Resuelto</v>
      </c>
      <c r="AJ167" s="33" t="s">
        <v>1007</v>
      </c>
      <c r="AK167" s="33" t="s">
        <v>1008</v>
      </c>
    </row>
    <row r="168" spans="1:38" ht="135" customHeight="1" x14ac:dyDescent="0.2">
      <c r="A168" s="8" t="s">
        <v>506</v>
      </c>
      <c r="B168" s="9">
        <v>11016</v>
      </c>
      <c r="C168" s="9" t="s">
        <v>756</v>
      </c>
      <c r="D168" s="10">
        <v>42053</v>
      </c>
      <c r="E168" s="9" t="s">
        <v>54</v>
      </c>
      <c r="F168" s="9" t="s">
        <v>239</v>
      </c>
      <c r="G168" s="9" t="s">
        <v>240</v>
      </c>
      <c r="H168" s="9" t="s">
        <v>18</v>
      </c>
      <c r="I168" s="9" t="s">
        <v>491</v>
      </c>
      <c r="J168" s="9">
        <v>15425275</v>
      </c>
      <c r="K168" s="9" t="s">
        <v>58</v>
      </c>
      <c r="L168" s="9" t="s">
        <v>493</v>
      </c>
      <c r="M168" s="9" t="s">
        <v>22</v>
      </c>
      <c r="N168" s="8"/>
      <c r="O168" s="8" t="s">
        <v>320</v>
      </c>
      <c r="P168" s="9"/>
      <c r="Q168" s="9" t="str">
        <f t="shared" si="7"/>
        <v>SI</v>
      </c>
      <c r="R168" s="8" t="s">
        <v>516</v>
      </c>
      <c r="S168" s="8"/>
      <c r="T168" s="11">
        <v>42073</v>
      </c>
      <c r="U168" s="11"/>
      <c r="V168" s="11"/>
      <c r="W168" s="8"/>
      <c r="X168" s="8"/>
      <c r="Y168" s="8"/>
      <c r="Z168" s="8"/>
      <c r="AA168" s="8"/>
      <c r="AB168" s="8" t="s">
        <v>517</v>
      </c>
      <c r="AC168" s="8" t="s">
        <v>942</v>
      </c>
      <c r="AD168" s="8"/>
      <c r="AE168" s="8"/>
      <c r="AF168" s="8"/>
      <c r="AG168" s="8"/>
      <c r="AH168" s="32" t="str">
        <f t="shared" si="8"/>
        <v>Resuelto</v>
      </c>
      <c r="AJ168" s="33" t="s">
        <v>1007</v>
      </c>
      <c r="AK168" s="33" t="s">
        <v>1008</v>
      </c>
    </row>
    <row r="169" spans="1:38" ht="118.5" customHeight="1" x14ac:dyDescent="0.2">
      <c r="A169" s="8" t="s">
        <v>506</v>
      </c>
      <c r="B169" s="9">
        <v>11017</v>
      </c>
      <c r="C169" s="9" t="s">
        <v>756</v>
      </c>
      <c r="D169" s="10">
        <v>42054</v>
      </c>
      <c r="E169" s="9" t="s">
        <v>54</v>
      </c>
      <c r="F169" s="9" t="s">
        <v>55</v>
      </c>
      <c r="G169" s="9" t="s">
        <v>494</v>
      </c>
      <c r="H169" s="9" t="s">
        <v>18</v>
      </c>
      <c r="I169" s="9" t="s">
        <v>495</v>
      </c>
      <c r="J169" s="9">
        <v>43211130</v>
      </c>
      <c r="K169" s="9" t="s">
        <v>58</v>
      </c>
      <c r="L169" s="9" t="s">
        <v>496</v>
      </c>
      <c r="M169" s="9" t="s">
        <v>22</v>
      </c>
      <c r="N169" s="8"/>
      <c r="O169" s="9" t="s">
        <v>320</v>
      </c>
      <c r="P169" s="9"/>
      <c r="Q169" s="9" t="str">
        <f t="shared" si="7"/>
        <v>SI</v>
      </c>
      <c r="R169" s="8"/>
      <c r="S169" s="8"/>
      <c r="T169" s="11">
        <v>42076</v>
      </c>
      <c r="U169" s="8"/>
      <c r="V169" s="11"/>
      <c r="W169" s="8"/>
      <c r="X169" s="8"/>
      <c r="Y169" s="8"/>
      <c r="Z169" s="8"/>
      <c r="AA169" s="8"/>
      <c r="AB169" s="8" t="s">
        <v>774</v>
      </c>
      <c r="AC169" s="8"/>
      <c r="AD169" s="8" t="s">
        <v>966</v>
      </c>
      <c r="AE169" s="8"/>
      <c r="AF169" s="8"/>
      <c r="AG169" s="8"/>
      <c r="AH169" s="32" t="str">
        <f t="shared" si="8"/>
        <v>Resuelto</v>
      </c>
      <c r="AJ169" s="33" t="s">
        <v>1007</v>
      </c>
      <c r="AK169" s="33" t="s">
        <v>1008</v>
      </c>
    </row>
    <row r="170" spans="1:38" ht="97.5" customHeight="1" x14ac:dyDescent="0.2">
      <c r="A170" s="8" t="s">
        <v>506</v>
      </c>
      <c r="B170" s="9">
        <v>11018</v>
      </c>
      <c r="C170" s="9" t="s">
        <v>756</v>
      </c>
      <c r="D170" s="10">
        <v>42057</v>
      </c>
      <c r="E170" s="9" t="s">
        <v>54</v>
      </c>
      <c r="F170" s="9" t="s">
        <v>55</v>
      </c>
      <c r="G170" s="9" t="s">
        <v>494</v>
      </c>
      <c r="H170" s="9" t="s">
        <v>18</v>
      </c>
      <c r="I170" s="9" t="s">
        <v>497</v>
      </c>
      <c r="J170" s="9">
        <v>22051403</v>
      </c>
      <c r="K170" s="9" t="s">
        <v>58</v>
      </c>
      <c r="L170" s="9" t="s">
        <v>498</v>
      </c>
      <c r="M170" s="9" t="s">
        <v>22</v>
      </c>
      <c r="N170" s="8"/>
      <c r="O170" s="9" t="s">
        <v>320</v>
      </c>
      <c r="P170" s="9"/>
      <c r="Q170" s="9" t="str">
        <f t="shared" si="7"/>
        <v>SI</v>
      </c>
      <c r="R170" s="8"/>
      <c r="S170" s="8"/>
      <c r="T170" s="11">
        <v>42076</v>
      </c>
      <c r="U170" s="8"/>
      <c r="V170" s="11"/>
      <c r="W170" s="8"/>
      <c r="X170" s="8"/>
      <c r="Y170" s="8"/>
      <c r="Z170" s="8"/>
      <c r="AA170" s="8"/>
      <c r="AB170" s="8" t="s">
        <v>775</v>
      </c>
      <c r="AC170" s="8"/>
      <c r="AD170" s="8" t="s">
        <v>966</v>
      </c>
      <c r="AE170" s="8"/>
      <c r="AF170" s="8"/>
      <c r="AG170" s="8"/>
      <c r="AH170" s="32" t="str">
        <f t="shared" si="8"/>
        <v>Resuelto</v>
      </c>
      <c r="AJ170" s="33" t="s">
        <v>1007</v>
      </c>
      <c r="AK170" s="33" t="s">
        <v>1008</v>
      </c>
    </row>
    <row r="171" spans="1:38" ht="144" customHeight="1" x14ac:dyDescent="0.2">
      <c r="A171" s="8" t="s">
        <v>506</v>
      </c>
      <c r="B171" s="9">
        <v>11019</v>
      </c>
      <c r="C171" s="9" t="s">
        <v>756</v>
      </c>
      <c r="D171" s="10">
        <v>42054</v>
      </c>
      <c r="E171" s="9" t="s">
        <v>54</v>
      </c>
      <c r="F171" s="9" t="s">
        <v>55</v>
      </c>
      <c r="G171" s="9" t="s">
        <v>499</v>
      </c>
      <c r="H171" s="9" t="s">
        <v>18</v>
      </c>
      <c r="I171" s="9" t="s">
        <v>500</v>
      </c>
      <c r="J171" s="9">
        <v>70285562</v>
      </c>
      <c r="K171" s="9" t="s">
        <v>58</v>
      </c>
      <c r="L171" s="9" t="s">
        <v>501</v>
      </c>
      <c r="M171" s="9" t="s">
        <v>22</v>
      </c>
      <c r="N171" s="8"/>
      <c r="O171" s="8" t="s">
        <v>320</v>
      </c>
      <c r="P171" s="9"/>
      <c r="Q171" s="9" t="str">
        <f t="shared" si="7"/>
        <v>SI</v>
      </c>
      <c r="R171" s="8"/>
      <c r="S171" s="8"/>
      <c r="T171" s="11">
        <v>42060</v>
      </c>
      <c r="U171" s="8"/>
      <c r="V171" s="11"/>
      <c r="W171" s="8"/>
      <c r="X171" s="8"/>
      <c r="Y171" s="8"/>
      <c r="Z171" s="8"/>
      <c r="AA171" s="8"/>
      <c r="AB171" s="8" t="s">
        <v>776</v>
      </c>
      <c r="AC171" s="8"/>
      <c r="AD171" s="8"/>
      <c r="AE171" s="8" t="s">
        <v>1010</v>
      </c>
      <c r="AF171" s="8"/>
      <c r="AG171" s="8"/>
      <c r="AH171" s="32" t="str">
        <f t="shared" si="8"/>
        <v>Resuelto</v>
      </c>
      <c r="AJ171" s="33" t="s">
        <v>1007</v>
      </c>
      <c r="AK171" s="33" t="s">
        <v>1008</v>
      </c>
    </row>
    <row r="172" spans="1:38" ht="128.25" customHeight="1" x14ac:dyDescent="0.2">
      <c r="A172" s="8" t="s">
        <v>506</v>
      </c>
      <c r="B172" s="9">
        <v>11020</v>
      </c>
      <c r="C172" s="9" t="s">
        <v>756</v>
      </c>
      <c r="D172" s="10">
        <v>42055</v>
      </c>
      <c r="E172" s="9" t="s">
        <v>54</v>
      </c>
      <c r="F172" s="9" t="s">
        <v>55</v>
      </c>
      <c r="G172" s="9" t="s">
        <v>56</v>
      </c>
      <c r="H172" s="9" t="s">
        <v>18</v>
      </c>
      <c r="I172" s="9" t="s">
        <v>502</v>
      </c>
      <c r="J172" s="9">
        <v>98473189</v>
      </c>
      <c r="K172" s="9" t="s">
        <v>58</v>
      </c>
      <c r="L172" s="9" t="s">
        <v>503</v>
      </c>
      <c r="M172" s="9" t="s">
        <v>22</v>
      </c>
      <c r="N172" s="8"/>
      <c r="O172" s="8" t="s">
        <v>320</v>
      </c>
      <c r="P172" s="9"/>
      <c r="Q172" s="9" t="str">
        <f t="shared" si="7"/>
        <v>SI</v>
      </c>
      <c r="R172" s="8"/>
      <c r="S172" s="8"/>
      <c r="T172" s="11">
        <v>42076</v>
      </c>
      <c r="U172" s="8"/>
      <c r="V172" s="11"/>
      <c r="W172" s="8"/>
      <c r="X172" s="8"/>
      <c r="Y172" s="8"/>
      <c r="Z172" s="8"/>
      <c r="AA172" s="8"/>
      <c r="AB172" s="8" t="s">
        <v>777</v>
      </c>
      <c r="AC172" s="8"/>
      <c r="AD172" s="8" t="s">
        <v>965</v>
      </c>
      <c r="AE172" s="8"/>
      <c r="AF172" s="8"/>
      <c r="AG172" s="8"/>
      <c r="AH172" s="32" t="str">
        <f t="shared" si="8"/>
        <v>Resuelto</v>
      </c>
      <c r="AJ172" s="33" t="s">
        <v>1007</v>
      </c>
      <c r="AK172" s="33" t="s">
        <v>1008</v>
      </c>
    </row>
    <row r="173" spans="1:38" ht="96" x14ac:dyDescent="0.2">
      <c r="A173" s="8" t="s">
        <v>506</v>
      </c>
      <c r="B173" s="9">
        <v>11021</v>
      </c>
      <c r="C173" s="9" t="s">
        <v>756</v>
      </c>
      <c r="D173" s="10">
        <v>42048</v>
      </c>
      <c r="E173" s="9" t="s">
        <v>54</v>
      </c>
      <c r="F173" s="9" t="s">
        <v>116</v>
      </c>
      <c r="G173" s="9" t="s">
        <v>23</v>
      </c>
      <c r="H173" s="9" t="s">
        <v>23</v>
      </c>
      <c r="I173" s="9" t="s">
        <v>504</v>
      </c>
      <c r="J173" s="9">
        <v>9858817</v>
      </c>
      <c r="K173" s="9" t="s">
        <v>43</v>
      </c>
      <c r="L173" s="9" t="s">
        <v>505</v>
      </c>
      <c r="M173" s="9" t="s">
        <v>22</v>
      </c>
      <c r="N173" s="8"/>
      <c r="O173" s="8" t="s">
        <v>320</v>
      </c>
      <c r="P173" s="9"/>
      <c r="Q173" s="9" t="str">
        <f t="shared" si="7"/>
        <v>SI</v>
      </c>
      <c r="R173" s="8"/>
      <c r="S173" s="8"/>
      <c r="T173" s="11">
        <v>42070</v>
      </c>
      <c r="U173" s="8"/>
      <c r="V173" s="11"/>
      <c r="W173" s="8"/>
      <c r="X173" s="8"/>
      <c r="Y173" s="8"/>
      <c r="Z173" s="8"/>
      <c r="AA173" s="8"/>
      <c r="AB173" s="8"/>
      <c r="AC173" s="8" t="s">
        <v>938</v>
      </c>
      <c r="AD173" s="8"/>
      <c r="AE173" s="8"/>
      <c r="AF173" s="8"/>
      <c r="AG173" s="8"/>
      <c r="AH173" s="32" t="str">
        <f t="shared" si="8"/>
        <v>Resuelto</v>
      </c>
      <c r="AJ173" s="33" t="s">
        <v>1007</v>
      </c>
      <c r="AK173" s="33" t="s">
        <v>1008</v>
      </c>
    </row>
    <row r="174" spans="1:38" ht="108" x14ac:dyDescent="0.2">
      <c r="A174" s="34" t="s">
        <v>771</v>
      </c>
      <c r="B174" s="9">
        <v>2023</v>
      </c>
      <c r="C174" s="9" t="s">
        <v>749</v>
      </c>
      <c r="D174" s="10">
        <v>42052</v>
      </c>
      <c r="E174" s="9" t="s">
        <v>15</v>
      </c>
      <c r="F174" s="9" t="s">
        <v>16</v>
      </c>
      <c r="G174" s="9" t="s">
        <v>17</v>
      </c>
      <c r="H174" s="9" t="s">
        <v>18</v>
      </c>
      <c r="I174" s="9" t="s">
        <v>760</v>
      </c>
      <c r="J174" s="9">
        <v>8011398</v>
      </c>
      <c r="K174" s="9" t="s">
        <v>20</v>
      </c>
      <c r="L174" s="9" t="s">
        <v>761</v>
      </c>
      <c r="M174" s="9" t="s">
        <v>22</v>
      </c>
      <c r="N174" s="8"/>
      <c r="O174" s="8" t="s">
        <v>315</v>
      </c>
      <c r="P174" s="9"/>
      <c r="Q174" s="9" t="str">
        <f t="shared" si="7"/>
        <v>SI</v>
      </c>
      <c r="R174" s="8" t="s">
        <v>947</v>
      </c>
      <c r="S174" s="8"/>
      <c r="T174" s="11">
        <v>42076</v>
      </c>
      <c r="U174" s="8"/>
      <c r="V174" s="11"/>
      <c r="W174" s="8"/>
      <c r="X174" s="8"/>
      <c r="Y174" s="8"/>
      <c r="Z174" s="8"/>
      <c r="AA174" s="8"/>
      <c r="AB174" s="8"/>
      <c r="AC174" s="8" t="s">
        <v>971</v>
      </c>
      <c r="AD174" s="8" t="s">
        <v>972</v>
      </c>
      <c r="AE174" s="8"/>
      <c r="AF174" s="8"/>
      <c r="AG174" s="8"/>
      <c r="AH174" s="32" t="str">
        <f t="shared" si="8"/>
        <v>A</v>
      </c>
    </row>
    <row r="175" spans="1:38" ht="60" x14ac:dyDescent="0.2">
      <c r="A175" s="34" t="s">
        <v>771</v>
      </c>
      <c r="B175" s="9">
        <v>2024</v>
      </c>
      <c r="C175" s="9" t="s">
        <v>749</v>
      </c>
      <c r="D175" s="10">
        <v>42052</v>
      </c>
      <c r="E175" s="9" t="s">
        <v>15</v>
      </c>
      <c r="F175" s="9" t="s">
        <v>16</v>
      </c>
      <c r="G175" s="9" t="s">
        <v>17</v>
      </c>
      <c r="H175" s="9" t="s">
        <v>18</v>
      </c>
      <c r="I175" s="9" t="s">
        <v>762</v>
      </c>
      <c r="J175" s="9">
        <v>8014509</v>
      </c>
      <c r="K175" s="9" t="s">
        <v>20</v>
      </c>
      <c r="L175" s="9" t="s">
        <v>763</v>
      </c>
      <c r="M175" s="9" t="s">
        <v>22</v>
      </c>
      <c r="N175" s="8"/>
      <c r="O175" s="8" t="s">
        <v>315</v>
      </c>
      <c r="P175" s="9"/>
      <c r="Q175" s="9" t="str">
        <f t="shared" si="7"/>
        <v>SI</v>
      </c>
      <c r="R175" s="8" t="s">
        <v>947</v>
      </c>
      <c r="S175" s="8"/>
      <c r="T175" s="11">
        <v>42076</v>
      </c>
      <c r="U175" s="8"/>
      <c r="V175" s="11"/>
      <c r="W175" s="8"/>
      <c r="X175" s="8"/>
      <c r="Y175" s="8"/>
      <c r="Z175" s="8"/>
      <c r="AA175" s="8"/>
      <c r="AB175" s="8"/>
      <c r="AC175" s="8" t="s">
        <v>970</v>
      </c>
      <c r="AD175" s="8" t="s">
        <v>972</v>
      </c>
      <c r="AE175" s="8"/>
      <c r="AF175" s="8"/>
      <c r="AG175" s="8"/>
      <c r="AH175" s="32" t="str">
        <f t="shared" si="8"/>
        <v>A</v>
      </c>
    </row>
    <row r="176" spans="1:38" ht="60" customHeight="1" x14ac:dyDescent="0.2">
      <c r="A176" s="34" t="s">
        <v>771</v>
      </c>
      <c r="B176" s="9">
        <v>11022</v>
      </c>
      <c r="C176" s="9" t="s">
        <v>756</v>
      </c>
      <c r="D176" s="10">
        <v>42059</v>
      </c>
      <c r="E176" s="9" t="s">
        <v>54</v>
      </c>
      <c r="F176" s="9" t="s">
        <v>764</v>
      </c>
      <c r="G176" s="9" t="s">
        <v>23</v>
      </c>
      <c r="H176" s="9" t="s">
        <v>765</v>
      </c>
      <c r="I176" s="9" t="s">
        <v>766</v>
      </c>
      <c r="J176" s="9">
        <v>21839160</v>
      </c>
      <c r="K176" s="9" t="s">
        <v>43</v>
      </c>
      <c r="L176" s="9" t="s">
        <v>767</v>
      </c>
      <c r="M176" s="9" t="s">
        <v>89</v>
      </c>
      <c r="N176" s="8"/>
      <c r="O176" s="8" t="s">
        <v>320</v>
      </c>
      <c r="P176" s="9"/>
      <c r="Q176" s="9" t="str">
        <f t="shared" si="7"/>
        <v>SI</v>
      </c>
      <c r="R176" s="8"/>
      <c r="S176" s="8"/>
      <c r="T176" s="11">
        <v>42067</v>
      </c>
      <c r="U176" s="8"/>
      <c r="V176" s="11"/>
      <c r="W176" s="8"/>
      <c r="X176" s="8"/>
      <c r="Y176" s="8"/>
      <c r="Z176" s="8"/>
      <c r="AA176" s="8"/>
      <c r="AB176" s="8" t="s">
        <v>889</v>
      </c>
      <c r="AC176" s="8"/>
      <c r="AD176" s="8"/>
      <c r="AE176" s="8"/>
      <c r="AF176" s="8"/>
      <c r="AG176" s="8"/>
      <c r="AH176" s="32" t="str">
        <f t="shared" si="8"/>
        <v>Resuelto</v>
      </c>
      <c r="AJ176" s="33" t="s">
        <v>1007</v>
      </c>
      <c r="AK176" s="33" t="s">
        <v>1008</v>
      </c>
    </row>
    <row r="177" spans="1:38" ht="45" customHeight="1" x14ac:dyDescent="0.2">
      <c r="A177" s="8" t="s">
        <v>885</v>
      </c>
      <c r="B177" s="9">
        <v>8032</v>
      </c>
      <c r="C177" s="9" t="s">
        <v>753</v>
      </c>
      <c r="D177" s="10">
        <v>42086</v>
      </c>
      <c r="E177" s="9" t="s">
        <v>45</v>
      </c>
      <c r="F177" s="9" t="s">
        <v>417</v>
      </c>
      <c r="G177" s="9" t="s">
        <v>418</v>
      </c>
      <c r="H177" s="9" t="s">
        <v>18</v>
      </c>
      <c r="I177" s="9" t="s">
        <v>879</v>
      </c>
      <c r="J177" s="9">
        <v>21480115</v>
      </c>
      <c r="K177" s="9" t="s">
        <v>43</v>
      </c>
      <c r="L177" s="9" t="s">
        <v>880</v>
      </c>
      <c r="M177" s="9" t="s">
        <v>22</v>
      </c>
      <c r="N177" s="18"/>
      <c r="O177" s="8" t="s">
        <v>315</v>
      </c>
      <c r="P177" s="9"/>
      <c r="Q177" s="9" t="str">
        <f t="shared" si="7"/>
        <v>SI</v>
      </c>
      <c r="R177" s="8" t="s">
        <v>946</v>
      </c>
      <c r="S177" s="18"/>
      <c r="T177" s="11">
        <v>42069</v>
      </c>
      <c r="U177" s="18"/>
      <c r="V177" s="18"/>
      <c r="W177" s="18"/>
      <c r="X177" s="17"/>
      <c r="Y177" s="17"/>
      <c r="Z177" s="17"/>
      <c r="AA177" s="17"/>
      <c r="AB177" s="17"/>
      <c r="AC177" s="8" t="s">
        <v>919</v>
      </c>
      <c r="AD177" s="8"/>
      <c r="AE177" s="8"/>
      <c r="AF177" s="17"/>
      <c r="AG177" s="17"/>
      <c r="AH177" s="32" t="str">
        <f t="shared" si="8"/>
        <v>R</v>
      </c>
      <c r="AL177" s="33"/>
    </row>
    <row r="178" spans="1:38" ht="56.25" customHeight="1" x14ac:dyDescent="0.2">
      <c r="A178" s="8" t="s">
        <v>885</v>
      </c>
      <c r="B178" s="9">
        <v>8033</v>
      </c>
      <c r="C178" s="9" t="s">
        <v>753</v>
      </c>
      <c r="D178" s="10">
        <v>42087</v>
      </c>
      <c r="E178" s="9" t="s">
        <v>45</v>
      </c>
      <c r="F178" s="9" t="s">
        <v>417</v>
      </c>
      <c r="G178" s="9" t="s">
        <v>418</v>
      </c>
      <c r="H178" s="9" t="s">
        <v>18</v>
      </c>
      <c r="I178" s="9" t="s">
        <v>881</v>
      </c>
      <c r="J178" s="9">
        <v>70220315</v>
      </c>
      <c r="K178" s="9" t="s">
        <v>58</v>
      </c>
      <c r="L178" s="9" t="s">
        <v>882</v>
      </c>
      <c r="M178" s="9" t="s">
        <v>22</v>
      </c>
      <c r="N178" s="18"/>
      <c r="O178" s="8" t="s">
        <v>315</v>
      </c>
      <c r="P178" s="9"/>
      <c r="Q178" s="9" t="str">
        <f t="shared" si="7"/>
        <v>SI</v>
      </c>
      <c r="R178" s="8" t="s">
        <v>946</v>
      </c>
      <c r="S178" s="18"/>
      <c r="T178" s="11">
        <v>42069</v>
      </c>
      <c r="U178" s="18"/>
      <c r="V178" s="18"/>
      <c r="W178" s="18"/>
      <c r="X178" s="17"/>
      <c r="Y178" s="17"/>
      <c r="Z178" s="17"/>
      <c r="AA178" s="17"/>
      <c r="AB178" s="17"/>
      <c r="AC178" s="8" t="s">
        <v>919</v>
      </c>
      <c r="AD178" s="8"/>
      <c r="AE178" s="8"/>
      <c r="AF178" s="17"/>
      <c r="AG178" s="17"/>
      <c r="AH178" s="32" t="str">
        <f t="shared" si="8"/>
        <v>R</v>
      </c>
      <c r="AL178" s="33"/>
    </row>
    <row r="179" spans="1:38" ht="102" customHeight="1" x14ac:dyDescent="0.2">
      <c r="A179" s="8" t="s">
        <v>885</v>
      </c>
      <c r="B179" s="9">
        <v>9008</v>
      </c>
      <c r="C179" s="9" t="s">
        <v>754</v>
      </c>
      <c r="D179" s="10">
        <v>42060</v>
      </c>
      <c r="E179" s="9" t="s">
        <v>96</v>
      </c>
      <c r="F179" s="9" t="s">
        <v>222</v>
      </c>
      <c r="G179" s="9" t="s">
        <v>310</v>
      </c>
      <c r="H179" s="9" t="s">
        <v>18</v>
      </c>
      <c r="I179" s="9" t="s">
        <v>883</v>
      </c>
      <c r="J179" s="9">
        <v>11793138</v>
      </c>
      <c r="K179" s="9" t="s">
        <v>58</v>
      </c>
      <c r="L179" s="9" t="s">
        <v>884</v>
      </c>
      <c r="M179" s="9" t="s">
        <v>22</v>
      </c>
      <c r="N179" s="18"/>
      <c r="O179" s="8" t="s">
        <v>326</v>
      </c>
      <c r="P179" s="9"/>
      <c r="Q179" s="9" t="str">
        <f t="shared" si="7"/>
        <v>SI</v>
      </c>
      <c r="R179" s="18"/>
      <c r="S179" s="18"/>
      <c r="T179" s="23">
        <v>42079</v>
      </c>
      <c r="U179" s="18"/>
      <c r="V179" s="18"/>
      <c r="W179" s="18"/>
      <c r="X179" s="17"/>
      <c r="Y179" s="17"/>
      <c r="Z179" s="17"/>
      <c r="AA179" s="17"/>
      <c r="AB179" s="8"/>
      <c r="AC179" s="8" t="s">
        <v>888</v>
      </c>
      <c r="AD179" s="8" t="s">
        <v>976</v>
      </c>
      <c r="AE179" s="8"/>
      <c r="AF179" s="17"/>
      <c r="AG179" s="17"/>
      <c r="AH179" s="32" t="str">
        <f t="shared" si="8"/>
        <v>A</v>
      </c>
    </row>
    <row r="180" spans="1:38" ht="75" customHeight="1" x14ac:dyDescent="0.2">
      <c r="A180" s="8" t="s">
        <v>954</v>
      </c>
      <c r="B180" s="9">
        <v>7028</v>
      </c>
      <c r="C180" s="9" t="s">
        <v>752</v>
      </c>
      <c r="D180" s="10">
        <v>42067</v>
      </c>
      <c r="E180" s="9" t="s">
        <v>45</v>
      </c>
      <c r="F180" s="9" t="s">
        <v>46</v>
      </c>
      <c r="G180" s="9" t="s">
        <v>955</v>
      </c>
      <c r="H180" s="9" t="s">
        <v>18</v>
      </c>
      <c r="I180" s="9" t="s">
        <v>956</v>
      </c>
      <c r="J180" s="9">
        <v>72226625</v>
      </c>
      <c r="K180" s="9" t="s">
        <v>43</v>
      </c>
      <c r="L180" s="9" t="s">
        <v>957</v>
      </c>
      <c r="M180" s="9" t="s">
        <v>22</v>
      </c>
      <c r="N180" s="8"/>
      <c r="O180" s="9" t="s">
        <v>939</v>
      </c>
      <c r="P180" s="9"/>
      <c r="Q180" s="10"/>
      <c r="R180" s="9"/>
      <c r="S180" s="9"/>
      <c r="T180" s="9"/>
      <c r="U180" s="9"/>
      <c r="V180" s="9"/>
      <c r="W180" s="9"/>
      <c r="X180" s="9"/>
      <c r="Y180" s="9"/>
      <c r="Z180" s="9"/>
      <c r="AA180" s="8"/>
      <c r="AB180" s="9"/>
      <c r="AC180" s="9" t="s">
        <v>983</v>
      </c>
      <c r="AD180" s="18"/>
      <c r="AE180" s="18"/>
      <c r="AF180" s="10"/>
      <c r="AG180" s="9"/>
      <c r="AH180" s="32" t="str">
        <f t="shared" si="8"/>
        <v>Por iniciar</v>
      </c>
    </row>
    <row r="181" spans="1:38" ht="144" x14ac:dyDescent="0.2">
      <c r="A181" s="8" t="s">
        <v>954</v>
      </c>
      <c r="B181" s="9">
        <v>8034</v>
      </c>
      <c r="C181" s="9" t="s">
        <v>753</v>
      </c>
      <c r="D181" s="10">
        <v>42071</v>
      </c>
      <c r="E181" s="9" t="s">
        <v>45</v>
      </c>
      <c r="F181" s="9" t="s">
        <v>417</v>
      </c>
      <c r="G181" s="9" t="s">
        <v>958</v>
      </c>
      <c r="H181" s="9" t="s">
        <v>18</v>
      </c>
      <c r="I181" s="9" t="s">
        <v>959</v>
      </c>
      <c r="J181" s="9">
        <v>98510329</v>
      </c>
      <c r="K181" s="9" t="s">
        <v>43</v>
      </c>
      <c r="L181" s="9" t="s">
        <v>960</v>
      </c>
      <c r="M181" s="9" t="s">
        <v>22</v>
      </c>
      <c r="N181" s="8"/>
      <c r="O181" s="9" t="s">
        <v>939</v>
      </c>
      <c r="P181" s="9"/>
      <c r="Q181" s="10"/>
      <c r="R181" s="9"/>
      <c r="S181" s="9"/>
      <c r="T181" s="9"/>
      <c r="U181" s="9"/>
      <c r="V181" s="9"/>
      <c r="W181" s="9"/>
      <c r="X181" s="9"/>
      <c r="Y181" s="9"/>
      <c r="Z181" s="9"/>
      <c r="AA181" s="8"/>
      <c r="AB181" s="9"/>
      <c r="AC181" s="9" t="s">
        <v>983</v>
      </c>
      <c r="AD181" s="18"/>
      <c r="AE181" s="18"/>
      <c r="AF181" s="10"/>
      <c r="AG181" s="9"/>
      <c r="AH181" s="32" t="str">
        <f t="shared" si="8"/>
        <v>Por iniciar</v>
      </c>
    </row>
    <row r="182" spans="1:38" ht="60" x14ac:dyDescent="0.2">
      <c r="A182" s="8" t="s">
        <v>982</v>
      </c>
      <c r="B182" s="9">
        <v>9009</v>
      </c>
      <c r="C182" s="9" t="s">
        <v>754</v>
      </c>
      <c r="D182" s="10">
        <v>42075</v>
      </c>
      <c r="E182" s="9" t="s">
        <v>96</v>
      </c>
      <c r="F182" s="9" t="s">
        <v>537</v>
      </c>
      <c r="G182" s="9" t="s">
        <v>977</v>
      </c>
      <c r="H182" s="9" t="s">
        <v>18</v>
      </c>
      <c r="I182" s="9" t="s">
        <v>978</v>
      </c>
      <c r="J182" s="9">
        <v>1041261132</v>
      </c>
      <c r="K182" s="9" t="s">
        <v>43</v>
      </c>
      <c r="L182" s="9" t="s">
        <v>979</v>
      </c>
      <c r="M182" s="9" t="s">
        <v>29</v>
      </c>
      <c r="N182" s="10"/>
      <c r="O182" s="9" t="s">
        <v>315</v>
      </c>
      <c r="P182" s="9"/>
      <c r="Q182" s="18"/>
      <c r="R182" s="18"/>
      <c r="S182" s="18"/>
      <c r="T182" s="23">
        <v>42080</v>
      </c>
      <c r="U182" s="18"/>
      <c r="V182" s="18"/>
      <c r="W182" s="18"/>
      <c r="X182" s="17"/>
      <c r="Y182" s="17"/>
      <c r="Z182" s="17"/>
      <c r="AA182" s="17"/>
      <c r="AB182" s="17"/>
      <c r="AC182" s="17"/>
      <c r="AD182" s="9" t="s">
        <v>995</v>
      </c>
      <c r="AE182" s="9"/>
      <c r="AF182" s="17"/>
      <c r="AG182" s="17"/>
      <c r="AH182" s="32" t="str">
        <f t="shared" si="8"/>
        <v>V</v>
      </c>
    </row>
    <row r="183" spans="1:38" ht="60" x14ac:dyDescent="0.2">
      <c r="A183" s="8" t="s">
        <v>982</v>
      </c>
      <c r="B183" s="9">
        <v>9010</v>
      </c>
      <c r="C183" s="9" t="s">
        <v>754</v>
      </c>
      <c r="D183" s="10">
        <v>42075</v>
      </c>
      <c r="E183" s="9" t="s">
        <v>96</v>
      </c>
      <c r="F183" s="9" t="s">
        <v>537</v>
      </c>
      <c r="G183" s="9" t="s">
        <v>977</v>
      </c>
      <c r="H183" s="9" t="s">
        <v>18</v>
      </c>
      <c r="I183" s="9" t="s">
        <v>980</v>
      </c>
      <c r="J183" s="9">
        <v>39300683</v>
      </c>
      <c r="K183" s="9" t="s">
        <v>574</v>
      </c>
      <c r="L183" s="9" t="s">
        <v>981</v>
      </c>
      <c r="M183" s="9" t="s">
        <v>22</v>
      </c>
      <c r="N183" s="10"/>
      <c r="O183" s="9" t="s">
        <v>315</v>
      </c>
      <c r="P183" s="9"/>
      <c r="Q183" s="18"/>
      <c r="R183" s="18"/>
      <c r="S183" s="18"/>
      <c r="T183" s="23">
        <v>42080</v>
      </c>
      <c r="U183" s="18"/>
      <c r="V183" s="18"/>
      <c r="W183" s="18"/>
      <c r="X183" s="17"/>
      <c r="Y183" s="17"/>
      <c r="Z183" s="17"/>
      <c r="AA183" s="17"/>
      <c r="AB183" s="17"/>
      <c r="AC183" s="17"/>
      <c r="AD183" s="39" t="s">
        <v>996</v>
      </c>
      <c r="AE183" s="39"/>
      <c r="AF183" s="17"/>
      <c r="AG183" s="17"/>
      <c r="AH183" s="32" t="str">
        <f t="shared" si="8"/>
        <v>V</v>
      </c>
    </row>
    <row r="184" spans="1:38" x14ac:dyDescent="0.2">
      <c r="A184" s="5"/>
      <c r="B184" s="5"/>
      <c r="C184" s="5"/>
      <c r="D184" s="6"/>
      <c r="E184" s="5"/>
      <c r="F184" s="5"/>
      <c r="G184" s="5"/>
      <c r="H184" s="5"/>
      <c r="I184" s="5"/>
      <c r="J184" s="5"/>
      <c r="K184" s="5"/>
      <c r="L184" s="5"/>
      <c r="M184" s="5"/>
      <c r="N184" s="5"/>
      <c r="S184" s="5"/>
      <c r="T184" s="5"/>
      <c r="U184" s="5"/>
      <c r="V184" s="5"/>
      <c r="X184" s="4"/>
      <c r="Y184" s="4"/>
      <c r="Z184" s="4"/>
      <c r="AA184" s="4"/>
      <c r="AB184" s="4"/>
      <c r="AC184" s="4"/>
      <c r="AD184" s="4"/>
      <c r="AE184" s="4"/>
      <c r="AF184" s="4"/>
      <c r="AG184" s="4"/>
    </row>
    <row r="185" spans="1:38" x14ac:dyDescent="0.2">
      <c r="A185" s="5"/>
      <c r="B185" s="5"/>
      <c r="C185" s="5"/>
      <c r="D185" s="6"/>
      <c r="E185" s="5"/>
      <c r="F185" s="5"/>
      <c r="G185" s="5"/>
      <c r="H185" s="5"/>
      <c r="I185" s="5"/>
      <c r="J185" s="5"/>
      <c r="K185" s="5"/>
      <c r="L185" s="5"/>
      <c r="M185" s="5"/>
      <c r="N185" s="5"/>
      <c r="S185" s="5"/>
      <c r="T185" s="5"/>
      <c r="U185" s="5"/>
      <c r="V185" s="5"/>
      <c r="X185" s="4"/>
      <c r="Y185" s="4"/>
      <c r="Z185" s="4"/>
      <c r="AA185" s="4"/>
      <c r="AB185" s="4"/>
      <c r="AC185" s="4"/>
      <c r="AD185" s="4"/>
      <c r="AE185" s="4"/>
      <c r="AF185" s="4"/>
      <c r="AG185" s="4"/>
    </row>
    <row r="186" spans="1:38" x14ac:dyDescent="0.2">
      <c r="A186" s="5"/>
      <c r="B186" s="5"/>
      <c r="C186" s="5"/>
      <c r="D186" s="6"/>
      <c r="E186" s="5"/>
      <c r="F186" s="5"/>
      <c r="G186" s="5"/>
      <c r="H186" s="5"/>
      <c r="I186" s="5"/>
      <c r="J186" s="5"/>
      <c r="K186" s="5"/>
      <c r="L186" s="5"/>
      <c r="M186" s="5"/>
      <c r="N186" s="5"/>
      <c r="S186" s="5"/>
      <c r="T186" s="5"/>
      <c r="U186" s="5"/>
      <c r="V186" s="5"/>
      <c r="X186" s="4"/>
      <c r="Y186" s="4"/>
      <c r="Z186" s="4"/>
      <c r="AA186" s="4"/>
      <c r="AB186" s="4"/>
      <c r="AC186" s="4"/>
      <c r="AD186" s="4"/>
      <c r="AE186" s="4"/>
      <c r="AF186" s="4"/>
      <c r="AG186" s="4"/>
    </row>
    <row r="187" spans="1:38" x14ac:dyDescent="0.2">
      <c r="A187" s="5"/>
      <c r="B187" s="5"/>
      <c r="C187" s="5"/>
      <c r="D187" s="6"/>
      <c r="E187" s="5"/>
      <c r="F187" s="5"/>
      <c r="G187" s="5"/>
      <c r="H187" s="5"/>
      <c r="I187" s="5"/>
      <c r="J187" s="5"/>
      <c r="K187" s="5"/>
      <c r="L187" s="5"/>
      <c r="M187" s="5"/>
      <c r="N187" s="5"/>
      <c r="S187" s="5"/>
      <c r="T187" s="5"/>
      <c r="U187" s="5"/>
      <c r="V187" s="5"/>
      <c r="X187" s="4"/>
      <c r="Y187" s="4"/>
      <c r="Z187" s="4"/>
      <c r="AA187" s="4"/>
      <c r="AB187" s="4"/>
      <c r="AC187" s="4"/>
      <c r="AD187" s="4"/>
      <c r="AE187" s="4"/>
      <c r="AF187" s="4"/>
      <c r="AG187" s="4"/>
    </row>
    <row r="188" spans="1:38" x14ac:dyDescent="0.2">
      <c r="A188" s="5"/>
      <c r="B188" s="5"/>
      <c r="C188" s="5"/>
      <c r="D188" s="6"/>
      <c r="E188" s="5"/>
      <c r="F188" s="5"/>
      <c r="G188" s="5"/>
      <c r="H188" s="5"/>
      <c r="I188" s="5"/>
      <c r="J188" s="5"/>
      <c r="K188" s="5"/>
      <c r="L188" s="5"/>
      <c r="M188" s="5"/>
      <c r="N188" s="5"/>
      <c r="S188" s="5"/>
      <c r="T188" s="5"/>
      <c r="U188" s="5"/>
      <c r="V188" s="5"/>
      <c r="X188" s="4"/>
      <c r="Y188" s="4"/>
      <c r="Z188" s="4"/>
      <c r="AA188" s="4"/>
      <c r="AB188" s="4"/>
      <c r="AC188" s="4"/>
      <c r="AD188" s="4"/>
      <c r="AE188" s="4"/>
      <c r="AF188" s="4"/>
      <c r="AG188" s="4"/>
    </row>
    <row r="189" spans="1:38" x14ac:dyDescent="0.2">
      <c r="A189" s="5"/>
      <c r="B189" s="5"/>
      <c r="C189" s="5"/>
      <c r="D189" s="6"/>
      <c r="E189" s="5"/>
      <c r="F189" s="4"/>
      <c r="G189" s="37"/>
      <c r="H189" s="5"/>
      <c r="I189" s="5"/>
      <c r="J189" s="5"/>
      <c r="K189" s="5"/>
      <c r="L189" s="5"/>
      <c r="M189" s="5"/>
      <c r="N189" s="5"/>
      <c r="S189" s="5"/>
      <c r="T189" s="5"/>
      <c r="U189" s="5"/>
      <c r="V189" s="5"/>
      <c r="X189" s="4"/>
      <c r="Y189" s="4"/>
      <c r="Z189" s="4"/>
      <c r="AA189" s="4"/>
      <c r="AB189" s="4"/>
      <c r="AC189" s="4"/>
      <c r="AD189" s="4"/>
      <c r="AE189" s="4"/>
      <c r="AF189" s="4"/>
      <c r="AG189" s="4"/>
    </row>
    <row r="190" spans="1:38" x14ac:dyDescent="0.2">
      <c r="A190" s="5"/>
      <c r="B190" s="5"/>
      <c r="C190" s="5"/>
      <c r="D190" s="6"/>
      <c r="E190" s="5"/>
      <c r="F190" s="5"/>
      <c r="G190" s="5"/>
      <c r="H190" s="5"/>
      <c r="I190" s="5"/>
      <c r="J190" s="5"/>
      <c r="K190" s="5"/>
      <c r="L190" s="5"/>
      <c r="M190" s="5"/>
      <c r="N190" s="5"/>
      <c r="S190" s="5"/>
      <c r="T190" s="5"/>
      <c r="U190" s="5"/>
      <c r="V190" s="5"/>
      <c r="X190" s="4"/>
      <c r="Y190" s="4"/>
      <c r="Z190" s="4"/>
      <c r="AA190" s="4"/>
      <c r="AB190" s="4"/>
      <c r="AC190" s="4"/>
      <c r="AD190" s="4"/>
      <c r="AE190" s="4"/>
      <c r="AF190" s="4"/>
      <c r="AG190" s="4"/>
    </row>
    <row r="191" spans="1:38" x14ac:dyDescent="0.2">
      <c r="A191" s="5"/>
      <c r="B191" s="5"/>
      <c r="C191" s="5"/>
      <c r="D191" s="6"/>
      <c r="E191" s="5"/>
      <c r="F191" s="5"/>
      <c r="G191" s="5"/>
      <c r="H191" s="5"/>
      <c r="I191" s="5"/>
      <c r="J191" s="5"/>
      <c r="K191" s="5"/>
      <c r="L191" s="5"/>
      <c r="M191" s="5"/>
      <c r="N191" s="5"/>
      <c r="S191" s="5"/>
      <c r="T191" s="5"/>
      <c r="U191" s="5"/>
      <c r="V191" s="5"/>
      <c r="X191" s="4"/>
      <c r="Y191" s="4"/>
      <c r="Z191" s="4"/>
      <c r="AA191" s="4"/>
      <c r="AB191" s="4"/>
      <c r="AC191" s="4"/>
      <c r="AD191" s="4"/>
      <c r="AE191" s="4"/>
      <c r="AF191" s="4"/>
      <c r="AG191" s="4"/>
    </row>
    <row r="192" spans="1:38" ht="30" customHeight="1" x14ac:dyDescent="0.2">
      <c r="A192" s="5"/>
      <c r="B192" s="5"/>
      <c r="C192" s="5"/>
      <c r="D192" s="6"/>
      <c r="E192" s="5"/>
      <c r="F192" s="5"/>
      <c r="G192" s="5"/>
      <c r="H192" s="5"/>
      <c r="I192" s="5"/>
      <c r="J192" s="5"/>
      <c r="K192" s="5"/>
      <c r="L192" s="5"/>
      <c r="M192" s="5"/>
      <c r="N192" s="5"/>
      <c r="S192" s="5"/>
      <c r="T192" s="5"/>
      <c r="U192" s="5"/>
      <c r="V192" s="5"/>
      <c r="X192" s="4"/>
      <c r="Y192" s="4"/>
      <c r="Z192" s="4"/>
      <c r="AA192" s="4"/>
      <c r="AB192" s="4"/>
      <c r="AC192" s="4"/>
      <c r="AD192" s="4"/>
      <c r="AE192" s="4"/>
      <c r="AF192" s="4"/>
      <c r="AG192" s="4"/>
    </row>
    <row r="193" spans="1:33" x14ac:dyDescent="0.2">
      <c r="A193" s="5"/>
      <c r="B193" s="5"/>
      <c r="C193" s="5"/>
      <c r="D193" s="6"/>
      <c r="E193" s="5"/>
      <c r="F193" s="5"/>
      <c r="G193" s="5"/>
      <c r="H193" s="5"/>
      <c r="I193" s="5"/>
      <c r="J193" s="5"/>
      <c r="K193" s="5"/>
      <c r="L193" s="5"/>
      <c r="M193" s="5"/>
      <c r="N193" s="5"/>
      <c r="S193" s="5"/>
      <c r="T193" s="5"/>
      <c r="U193" s="5"/>
      <c r="V193" s="5"/>
      <c r="X193" s="4"/>
      <c r="Y193" s="4"/>
      <c r="Z193" s="4"/>
      <c r="AA193" s="4"/>
      <c r="AB193" s="4"/>
      <c r="AC193" s="4"/>
      <c r="AD193" s="4"/>
      <c r="AE193" s="4"/>
      <c r="AF193" s="4"/>
      <c r="AG193" s="4"/>
    </row>
    <row r="194" spans="1:33" ht="30" customHeight="1" x14ac:dyDescent="0.2">
      <c r="A194" s="5"/>
      <c r="B194" s="5"/>
      <c r="C194" s="5"/>
      <c r="D194" s="6"/>
      <c r="E194" s="5"/>
      <c r="F194" s="5"/>
      <c r="G194" s="5"/>
      <c r="H194" s="5"/>
      <c r="I194" s="5"/>
      <c r="J194" s="5"/>
      <c r="K194" s="5"/>
      <c r="L194" s="5"/>
      <c r="M194" s="5"/>
      <c r="N194" s="5"/>
      <c r="S194" s="5"/>
      <c r="T194" s="5"/>
      <c r="U194" s="5"/>
      <c r="V194" s="5"/>
      <c r="X194" s="4"/>
      <c r="Y194" s="4"/>
      <c r="Z194" s="4"/>
      <c r="AA194" s="4"/>
      <c r="AB194" s="4"/>
      <c r="AC194" s="4"/>
      <c r="AD194" s="4"/>
      <c r="AE194" s="4"/>
      <c r="AF194" s="4"/>
      <c r="AG194" s="4"/>
    </row>
    <row r="195" spans="1:33" x14ac:dyDescent="0.2">
      <c r="A195" s="5"/>
      <c r="B195" s="5"/>
      <c r="C195" s="5"/>
      <c r="D195" s="6"/>
      <c r="E195" s="5"/>
      <c r="F195" s="5"/>
      <c r="G195" s="5"/>
      <c r="H195" s="5"/>
      <c r="I195" s="5"/>
      <c r="J195" s="5"/>
      <c r="K195" s="5"/>
      <c r="L195" s="5"/>
      <c r="M195" s="5"/>
      <c r="N195" s="5"/>
      <c r="S195" s="5"/>
      <c r="T195" s="5"/>
      <c r="U195" s="5"/>
      <c r="V195" s="5"/>
      <c r="X195" s="4"/>
      <c r="Y195" s="4"/>
      <c r="Z195" s="4"/>
      <c r="AA195" s="4"/>
      <c r="AB195" s="4"/>
      <c r="AC195" s="4"/>
      <c r="AD195" s="4"/>
      <c r="AE195" s="4"/>
      <c r="AF195" s="4"/>
      <c r="AG195" s="4"/>
    </row>
    <row r="196" spans="1:33" x14ac:dyDescent="0.2">
      <c r="A196" s="5"/>
      <c r="B196" s="5"/>
      <c r="C196" s="5"/>
      <c r="D196" s="6"/>
      <c r="E196" s="5"/>
      <c r="F196" s="5"/>
      <c r="G196" s="5"/>
      <c r="H196" s="5"/>
      <c r="I196" s="5"/>
      <c r="J196" s="5"/>
      <c r="K196" s="5"/>
      <c r="L196" s="5"/>
      <c r="M196" s="5"/>
      <c r="N196" s="5"/>
      <c r="S196" s="5"/>
      <c r="T196" s="5"/>
      <c r="U196" s="5"/>
      <c r="V196" s="5"/>
      <c r="X196" s="4"/>
      <c r="Y196" s="4"/>
      <c r="Z196" s="4"/>
      <c r="AA196" s="4"/>
      <c r="AB196" s="4"/>
      <c r="AC196" s="4"/>
      <c r="AD196" s="4"/>
      <c r="AE196" s="4"/>
      <c r="AF196" s="4"/>
      <c r="AG196" s="4"/>
    </row>
    <row r="197" spans="1:33" x14ac:dyDescent="0.2">
      <c r="A197" s="5"/>
      <c r="B197" s="5"/>
      <c r="C197" s="5"/>
      <c r="D197" s="6"/>
      <c r="E197" s="5"/>
      <c r="F197" s="5"/>
      <c r="G197" s="5"/>
      <c r="H197" s="5"/>
      <c r="I197" s="5"/>
      <c r="J197" s="5"/>
      <c r="K197" s="5"/>
      <c r="L197" s="5"/>
      <c r="M197" s="5"/>
      <c r="N197" s="5"/>
      <c r="S197" s="5"/>
      <c r="T197" s="5"/>
      <c r="U197" s="5"/>
      <c r="V197" s="5"/>
      <c r="X197" s="4"/>
      <c r="Y197" s="4"/>
      <c r="Z197" s="4"/>
      <c r="AA197" s="4"/>
      <c r="AB197" s="4"/>
      <c r="AC197" s="4"/>
      <c r="AD197" s="4"/>
      <c r="AE197" s="4"/>
      <c r="AF197" s="4"/>
      <c r="AG197" s="4"/>
    </row>
    <row r="198" spans="1:33" ht="30" customHeight="1" x14ac:dyDescent="0.2">
      <c r="A198" s="5"/>
      <c r="B198" s="5"/>
      <c r="C198" s="5"/>
      <c r="D198" s="6"/>
      <c r="E198" s="5"/>
      <c r="F198" s="5"/>
      <c r="G198" s="5"/>
      <c r="H198" s="5"/>
      <c r="I198" s="5"/>
      <c r="J198" s="5"/>
      <c r="K198" s="5"/>
      <c r="L198" s="5"/>
      <c r="M198" s="5"/>
      <c r="N198" s="5"/>
      <c r="S198" s="5"/>
      <c r="T198" s="5"/>
      <c r="U198" s="5"/>
      <c r="V198" s="5"/>
      <c r="X198" s="4"/>
      <c r="Y198" s="4"/>
      <c r="Z198" s="4"/>
      <c r="AA198" s="4"/>
      <c r="AB198" s="4"/>
      <c r="AC198" s="4"/>
      <c r="AD198" s="4"/>
      <c r="AE198" s="4"/>
      <c r="AF198" s="4"/>
      <c r="AG198" s="4"/>
    </row>
    <row r="199" spans="1:33" x14ac:dyDescent="0.2">
      <c r="A199" s="5"/>
      <c r="B199" s="5"/>
      <c r="C199" s="5"/>
      <c r="D199" s="6"/>
      <c r="E199" s="5"/>
      <c r="F199" s="5"/>
      <c r="G199" s="5"/>
      <c r="H199" s="5"/>
      <c r="I199" s="5"/>
      <c r="J199" s="5"/>
      <c r="K199" s="5"/>
      <c r="L199" s="5"/>
      <c r="M199" s="5"/>
      <c r="N199" s="5"/>
      <c r="S199" s="5"/>
      <c r="T199" s="5"/>
      <c r="U199" s="5"/>
      <c r="V199" s="5"/>
      <c r="X199" s="4"/>
      <c r="Y199" s="4"/>
      <c r="Z199" s="4"/>
      <c r="AA199" s="4"/>
      <c r="AB199" s="4"/>
      <c r="AC199" s="4"/>
      <c r="AD199" s="4"/>
      <c r="AE199" s="4"/>
      <c r="AF199" s="4"/>
      <c r="AG199" s="4"/>
    </row>
    <row r="200" spans="1:33" x14ac:dyDescent="0.2">
      <c r="A200" s="5"/>
      <c r="B200" s="5"/>
      <c r="C200" s="5"/>
      <c r="D200" s="6"/>
      <c r="E200" s="5"/>
      <c r="F200" s="5"/>
      <c r="G200" s="5"/>
      <c r="H200" s="5"/>
      <c r="I200" s="5"/>
      <c r="J200" s="5"/>
      <c r="K200" s="5"/>
      <c r="L200" s="5"/>
      <c r="M200" s="5"/>
      <c r="N200" s="5"/>
      <c r="S200" s="5"/>
      <c r="T200" s="5"/>
      <c r="U200" s="5"/>
      <c r="V200" s="5"/>
      <c r="X200" s="4"/>
      <c r="Y200" s="4"/>
      <c r="Z200" s="4"/>
      <c r="AA200" s="4"/>
      <c r="AB200" s="4"/>
      <c r="AC200" s="4"/>
      <c r="AD200" s="4"/>
      <c r="AE200" s="4"/>
      <c r="AF200" s="4"/>
      <c r="AG200" s="4"/>
    </row>
    <row r="201" spans="1:33" ht="30" customHeight="1" x14ac:dyDescent="0.2">
      <c r="A201" s="5"/>
      <c r="B201" s="5"/>
      <c r="C201" s="5"/>
      <c r="D201" s="6"/>
      <c r="E201" s="5"/>
      <c r="F201" s="5"/>
      <c r="G201" s="5"/>
      <c r="H201" s="5"/>
      <c r="I201" s="5"/>
      <c r="J201" s="5"/>
      <c r="K201" s="5"/>
      <c r="L201" s="5"/>
      <c r="M201" s="5"/>
      <c r="N201" s="5"/>
      <c r="S201" s="5"/>
      <c r="T201" s="5"/>
      <c r="U201" s="5"/>
      <c r="V201" s="5"/>
      <c r="X201" s="4"/>
      <c r="Y201" s="4"/>
      <c r="Z201" s="4"/>
      <c r="AA201" s="4"/>
      <c r="AB201" s="4"/>
      <c r="AC201" s="4"/>
      <c r="AD201" s="4"/>
      <c r="AE201" s="4"/>
      <c r="AF201" s="4"/>
      <c r="AG201" s="4"/>
    </row>
    <row r="202" spans="1:33" x14ac:dyDescent="0.2">
      <c r="A202" s="5"/>
      <c r="B202" s="5"/>
      <c r="C202" s="5"/>
      <c r="D202" s="6"/>
      <c r="E202" s="5"/>
      <c r="F202" s="5"/>
      <c r="G202" s="5"/>
      <c r="H202" s="5"/>
      <c r="I202" s="5"/>
      <c r="J202" s="5"/>
      <c r="K202" s="5"/>
      <c r="L202" s="5"/>
      <c r="M202" s="5"/>
      <c r="N202" s="5"/>
      <c r="S202" s="5"/>
      <c r="T202" s="5"/>
      <c r="U202" s="5"/>
      <c r="V202" s="5"/>
      <c r="X202" s="4"/>
      <c r="Y202" s="4"/>
      <c r="Z202" s="4"/>
      <c r="AA202" s="4"/>
      <c r="AB202" s="4"/>
      <c r="AC202" s="4"/>
      <c r="AD202" s="4"/>
      <c r="AE202" s="4"/>
      <c r="AF202" s="4"/>
      <c r="AG202" s="4"/>
    </row>
    <row r="203" spans="1:33" x14ac:dyDescent="0.2">
      <c r="A203" s="5"/>
      <c r="B203" s="5"/>
      <c r="C203" s="5"/>
      <c r="D203" s="6"/>
      <c r="E203" s="5"/>
      <c r="F203" s="5"/>
      <c r="G203" s="5"/>
      <c r="H203" s="5"/>
      <c r="I203" s="5"/>
      <c r="J203" s="5"/>
      <c r="K203" s="5"/>
      <c r="L203" s="5"/>
      <c r="M203" s="5"/>
      <c r="N203" s="5"/>
      <c r="S203" s="5"/>
      <c r="T203" s="5"/>
      <c r="U203" s="5"/>
      <c r="V203" s="5"/>
      <c r="X203" s="4"/>
      <c r="Y203" s="4"/>
      <c r="Z203" s="4"/>
      <c r="AA203" s="4"/>
      <c r="AB203" s="4"/>
      <c r="AC203" s="4"/>
      <c r="AD203" s="4"/>
      <c r="AE203" s="4"/>
      <c r="AF203" s="4"/>
      <c r="AG203" s="4"/>
    </row>
    <row r="204" spans="1:33" x14ac:dyDescent="0.2">
      <c r="A204" s="5"/>
      <c r="B204" s="5"/>
      <c r="C204" s="5"/>
      <c r="D204" s="6"/>
      <c r="E204" s="5"/>
      <c r="F204" s="5"/>
      <c r="G204" s="5"/>
      <c r="H204" s="5"/>
      <c r="I204" s="5"/>
      <c r="J204" s="5"/>
      <c r="K204" s="5"/>
      <c r="L204" s="5"/>
      <c r="M204" s="5"/>
      <c r="N204" s="5"/>
      <c r="S204" s="5"/>
      <c r="T204" s="5"/>
      <c r="U204" s="5"/>
      <c r="V204" s="5"/>
      <c r="X204" s="4"/>
      <c r="Y204" s="4"/>
      <c r="Z204" s="4"/>
      <c r="AA204" s="4"/>
      <c r="AB204" s="4"/>
      <c r="AC204" s="4"/>
      <c r="AD204" s="4"/>
      <c r="AE204" s="4"/>
      <c r="AF204" s="4"/>
      <c r="AG204" s="4"/>
    </row>
    <row r="205" spans="1:33" ht="60" customHeight="1" x14ac:dyDescent="0.2">
      <c r="A205" s="5"/>
      <c r="B205" s="5"/>
      <c r="C205" s="5"/>
      <c r="D205" s="6"/>
      <c r="E205" s="5"/>
      <c r="F205" s="5"/>
      <c r="G205" s="5"/>
      <c r="H205" s="5"/>
      <c r="I205" s="5"/>
      <c r="J205" s="5"/>
      <c r="K205" s="5"/>
      <c r="L205" s="5"/>
      <c r="M205" s="5"/>
      <c r="N205" s="5"/>
      <c r="S205" s="5"/>
      <c r="T205" s="5"/>
      <c r="U205" s="5"/>
      <c r="V205" s="5"/>
      <c r="X205" s="4"/>
      <c r="Y205" s="4"/>
      <c r="Z205" s="4"/>
      <c r="AA205" s="4"/>
      <c r="AB205" s="4"/>
      <c r="AC205" s="4"/>
      <c r="AD205" s="4"/>
      <c r="AE205" s="4"/>
      <c r="AF205" s="4"/>
      <c r="AG205" s="4"/>
    </row>
    <row r="206" spans="1:33" x14ac:dyDescent="0.2">
      <c r="A206" s="5"/>
      <c r="B206" s="5"/>
      <c r="C206" s="5"/>
      <c r="D206" s="6"/>
      <c r="E206" s="5"/>
      <c r="F206" s="5"/>
      <c r="G206" s="5"/>
      <c r="H206" s="5"/>
      <c r="I206" s="5"/>
      <c r="J206" s="5"/>
      <c r="K206" s="5"/>
      <c r="L206" s="5"/>
      <c r="M206" s="5"/>
      <c r="N206" s="5"/>
      <c r="S206" s="5"/>
      <c r="T206" s="5"/>
      <c r="U206" s="5"/>
      <c r="V206" s="5"/>
      <c r="X206" s="4"/>
      <c r="Y206" s="4"/>
      <c r="Z206" s="4"/>
      <c r="AA206" s="4"/>
      <c r="AB206" s="4"/>
      <c r="AC206" s="4"/>
      <c r="AD206" s="4"/>
      <c r="AE206" s="4"/>
      <c r="AF206" s="4"/>
      <c r="AG206" s="4"/>
    </row>
    <row r="207" spans="1:33" ht="45" customHeight="1" x14ac:dyDescent="0.2">
      <c r="A207" s="5"/>
      <c r="B207" s="5"/>
      <c r="C207" s="5"/>
      <c r="D207" s="6"/>
      <c r="E207" s="5"/>
      <c r="F207" s="5"/>
      <c r="G207" s="5"/>
      <c r="H207" s="5"/>
      <c r="I207" s="5"/>
      <c r="J207" s="5"/>
      <c r="K207" s="5"/>
      <c r="L207" s="5"/>
      <c r="M207" s="5"/>
      <c r="N207" s="5"/>
      <c r="S207" s="5"/>
      <c r="T207" s="5"/>
      <c r="U207" s="5"/>
      <c r="V207" s="5"/>
      <c r="X207" s="4"/>
      <c r="Y207" s="4"/>
      <c r="Z207" s="4"/>
      <c r="AA207" s="4"/>
      <c r="AB207" s="4"/>
      <c r="AC207" s="4"/>
      <c r="AD207" s="4"/>
      <c r="AE207" s="4"/>
      <c r="AF207" s="4"/>
      <c r="AG207" s="4"/>
    </row>
    <row r="208" spans="1:33" x14ac:dyDescent="0.2">
      <c r="A208" s="5"/>
      <c r="B208" s="5"/>
      <c r="C208" s="5"/>
      <c r="D208" s="6"/>
      <c r="E208" s="5"/>
      <c r="F208" s="5"/>
      <c r="G208" s="5"/>
      <c r="H208" s="5"/>
      <c r="I208" s="5"/>
      <c r="J208" s="5"/>
      <c r="K208" s="5"/>
      <c r="L208" s="5"/>
      <c r="M208" s="5"/>
      <c r="N208" s="5"/>
      <c r="S208" s="5"/>
      <c r="T208" s="5"/>
      <c r="U208" s="5"/>
      <c r="V208" s="5"/>
      <c r="X208" s="4"/>
      <c r="Y208" s="4"/>
      <c r="Z208" s="4"/>
      <c r="AA208" s="4"/>
      <c r="AB208" s="4"/>
      <c r="AC208" s="4"/>
      <c r="AD208" s="4"/>
      <c r="AE208" s="4"/>
      <c r="AF208" s="4"/>
      <c r="AG208" s="4"/>
    </row>
    <row r="209" spans="1:33" x14ac:dyDescent="0.2">
      <c r="A209" s="5"/>
      <c r="B209" s="5"/>
      <c r="C209" s="5"/>
      <c r="D209" s="6"/>
      <c r="E209" s="5"/>
      <c r="F209" s="5"/>
      <c r="G209" s="5"/>
      <c r="H209" s="5"/>
      <c r="I209" s="5"/>
      <c r="J209" s="5"/>
      <c r="K209" s="5"/>
      <c r="L209" s="5"/>
      <c r="M209" s="5"/>
      <c r="N209" s="5"/>
      <c r="S209" s="5"/>
      <c r="T209" s="5"/>
      <c r="U209" s="5"/>
      <c r="V209" s="5"/>
      <c r="X209" s="4"/>
      <c r="Y209" s="4"/>
      <c r="Z209" s="4"/>
      <c r="AA209" s="4"/>
      <c r="AB209" s="4"/>
      <c r="AC209" s="4"/>
      <c r="AD209" s="4"/>
      <c r="AE209" s="4"/>
      <c r="AF209" s="4"/>
      <c r="AG209" s="4"/>
    </row>
    <row r="210" spans="1:33" ht="30" customHeight="1" x14ac:dyDescent="0.2">
      <c r="A210" s="5"/>
      <c r="B210" s="5"/>
      <c r="C210" s="5"/>
      <c r="D210" s="6"/>
      <c r="E210" s="5"/>
      <c r="F210" s="5"/>
      <c r="G210" s="5"/>
      <c r="H210" s="5"/>
      <c r="I210" s="5"/>
      <c r="J210" s="5"/>
      <c r="K210" s="5"/>
      <c r="L210" s="5"/>
      <c r="M210" s="5"/>
      <c r="N210" s="5"/>
      <c r="S210" s="5"/>
      <c r="T210" s="5"/>
      <c r="U210" s="5"/>
      <c r="V210" s="5"/>
      <c r="X210" s="4"/>
      <c r="Y210" s="4"/>
      <c r="Z210" s="4"/>
      <c r="AA210" s="4"/>
      <c r="AB210" s="4"/>
      <c r="AC210" s="4"/>
      <c r="AD210" s="4"/>
      <c r="AE210" s="4"/>
      <c r="AF210" s="4"/>
      <c r="AG210" s="4"/>
    </row>
    <row r="211" spans="1:33" x14ac:dyDescent="0.2">
      <c r="A211" s="5"/>
      <c r="B211" s="5"/>
      <c r="C211" s="5"/>
      <c r="D211" s="6"/>
      <c r="E211" s="5"/>
      <c r="F211" s="5"/>
      <c r="G211" s="5"/>
      <c r="H211" s="5"/>
      <c r="I211" s="5"/>
      <c r="J211" s="5"/>
      <c r="K211" s="5"/>
      <c r="L211" s="5"/>
      <c r="M211" s="5"/>
      <c r="N211" s="5"/>
      <c r="S211" s="5"/>
      <c r="T211" s="5"/>
      <c r="U211" s="5"/>
      <c r="V211" s="5"/>
      <c r="X211" s="4"/>
      <c r="Y211" s="4"/>
      <c r="Z211" s="4"/>
      <c r="AA211" s="4"/>
      <c r="AB211" s="4"/>
      <c r="AC211" s="4"/>
      <c r="AD211" s="4"/>
      <c r="AE211" s="4"/>
      <c r="AF211" s="4"/>
      <c r="AG211" s="4"/>
    </row>
    <row r="212" spans="1:33" x14ac:dyDescent="0.2">
      <c r="A212" s="5"/>
      <c r="B212" s="5"/>
      <c r="C212" s="5"/>
      <c r="D212" s="6"/>
      <c r="E212" s="5"/>
      <c r="F212" s="5"/>
      <c r="G212" s="5"/>
      <c r="H212" s="5"/>
      <c r="I212" s="5"/>
      <c r="J212" s="5"/>
      <c r="K212" s="5"/>
      <c r="L212" s="5"/>
      <c r="M212" s="5"/>
      <c r="N212" s="5"/>
      <c r="S212" s="5"/>
      <c r="T212" s="5"/>
      <c r="U212" s="5"/>
      <c r="V212" s="5"/>
      <c r="X212" s="4"/>
      <c r="Y212" s="4"/>
      <c r="Z212" s="4"/>
      <c r="AA212" s="4"/>
      <c r="AB212" s="4"/>
      <c r="AC212" s="4"/>
      <c r="AD212" s="4"/>
      <c r="AE212" s="4"/>
      <c r="AF212" s="4"/>
      <c r="AG212" s="4"/>
    </row>
    <row r="213" spans="1:33" x14ac:dyDescent="0.2">
      <c r="A213" s="5"/>
      <c r="B213" s="5"/>
      <c r="C213" s="5"/>
      <c r="D213" s="6"/>
      <c r="E213" s="5"/>
      <c r="F213" s="5"/>
      <c r="G213" s="5"/>
      <c r="H213" s="5"/>
      <c r="I213" s="5"/>
      <c r="J213" s="5"/>
      <c r="K213" s="5"/>
      <c r="L213" s="5"/>
      <c r="M213" s="5"/>
      <c r="N213" s="5"/>
      <c r="S213" s="5"/>
      <c r="T213" s="5"/>
      <c r="U213" s="5"/>
      <c r="V213" s="5"/>
      <c r="X213" s="4"/>
      <c r="Y213" s="4"/>
      <c r="Z213" s="4"/>
      <c r="AA213" s="4"/>
      <c r="AB213" s="4"/>
      <c r="AC213" s="4"/>
      <c r="AD213" s="4"/>
      <c r="AE213" s="4"/>
      <c r="AF213" s="4"/>
      <c r="AG213" s="4"/>
    </row>
    <row r="214" spans="1:33" ht="45" customHeight="1" x14ac:dyDescent="0.2">
      <c r="A214" s="5"/>
      <c r="B214" s="5"/>
      <c r="C214" s="5"/>
      <c r="D214" s="6"/>
      <c r="E214" s="5"/>
      <c r="F214" s="5"/>
      <c r="G214" s="5"/>
      <c r="H214" s="5"/>
      <c r="I214" s="5"/>
      <c r="J214" s="5"/>
      <c r="K214" s="5"/>
      <c r="L214" s="5"/>
      <c r="M214" s="5"/>
      <c r="N214" s="5"/>
      <c r="S214" s="5"/>
      <c r="T214" s="5"/>
      <c r="U214" s="5"/>
      <c r="V214" s="5"/>
      <c r="X214" s="4"/>
      <c r="Y214" s="4"/>
      <c r="Z214" s="4"/>
      <c r="AA214" s="4"/>
      <c r="AB214" s="4"/>
      <c r="AC214" s="4"/>
      <c r="AD214" s="4"/>
      <c r="AE214" s="4"/>
      <c r="AF214" s="4"/>
      <c r="AG214" s="4"/>
    </row>
    <row r="215" spans="1:33" x14ac:dyDescent="0.2">
      <c r="A215" s="5"/>
      <c r="B215" s="5"/>
      <c r="C215" s="5"/>
      <c r="D215" s="6"/>
      <c r="E215" s="5"/>
      <c r="F215" s="5"/>
      <c r="G215" s="5"/>
      <c r="H215" s="5"/>
      <c r="I215" s="5"/>
      <c r="J215" s="5"/>
      <c r="K215" s="5"/>
      <c r="L215" s="5"/>
      <c r="M215" s="5"/>
      <c r="N215" s="5"/>
      <c r="S215" s="5"/>
      <c r="T215" s="5"/>
      <c r="U215" s="5"/>
      <c r="V215" s="5"/>
      <c r="X215" s="4"/>
      <c r="Y215" s="4"/>
      <c r="Z215" s="4"/>
      <c r="AA215" s="4"/>
      <c r="AB215" s="4"/>
      <c r="AC215" s="4"/>
      <c r="AD215" s="4"/>
      <c r="AE215" s="4"/>
      <c r="AF215" s="4"/>
      <c r="AG215" s="4"/>
    </row>
    <row r="216" spans="1:33" ht="30" customHeight="1" x14ac:dyDescent="0.2">
      <c r="A216" s="5"/>
      <c r="B216" s="5"/>
      <c r="C216" s="5"/>
      <c r="D216" s="6"/>
      <c r="E216" s="5"/>
      <c r="F216" s="5"/>
      <c r="G216" s="5"/>
      <c r="H216" s="5"/>
      <c r="I216" s="5"/>
      <c r="J216" s="5"/>
      <c r="K216" s="5"/>
      <c r="L216" s="5"/>
      <c r="M216" s="5"/>
      <c r="N216" s="5"/>
      <c r="S216" s="5"/>
      <c r="T216" s="5"/>
      <c r="U216" s="5"/>
      <c r="V216" s="5"/>
      <c r="X216" s="4"/>
      <c r="Y216" s="4"/>
      <c r="Z216" s="4"/>
      <c r="AA216" s="4"/>
      <c r="AB216" s="4"/>
      <c r="AC216" s="4"/>
      <c r="AD216" s="4"/>
      <c r="AE216" s="4"/>
      <c r="AF216" s="4"/>
      <c r="AG216" s="4"/>
    </row>
    <row r="217" spans="1:33" x14ac:dyDescent="0.2">
      <c r="A217" s="5"/>
      <c r="B217" s="5"/>
      <c r="C217" s="5"/>
      <c r="D217" s="6"/>
      <c r="E217" s="5"/>
      <c r="F217" s="5"/>
      <c r="G217" s="5"/>
      <c r="H217" s="5"/>
      <c r="I217" s="5"/>
      <c r="J217" s="5"/>
      <c r="K217" s="5"/>
      <c r="L217" s="5"/>
      <c r="M217" s="5"/>
      <c r="N217" s="5"/>
      <c r="S217" s="5"/>
      <c r="T217" s="5"/>
      <c r="U217" s="5"/>
      <c r="V217" s="5"/>
      <c r="X217" s="4"/>
      <c r="Y217" s="4"/>
      <c r="Z217" s="4"/>
      <c r="AA217" s="4"/>
      <c r="AB217" s="4"/>
      <c r="AC217" s="4"/>
      <c r="AD217" s="4"/>
      <c r="AE217" s="4"/>
      <c r="AF217" s="4"/>
      <c r="AG217" s="4"/>
    </row>
    <row r="218" spans="1:33" ht="45" customHeight="1" x14ac:dyDescent="0.2">
      <c r="A218" s="5"/>
      <c r="B218" s="5"/>
      <c r="C218" s="5"/>
      <c r="D218" s="6"/>
      <c r="E218" s="5"/>
      <c r="F218" s="5"/>
      <c r="G218" s="5"/>
      <c r="H218" s="5"/>
      <c r="I218" s="5"/>
      <c r="J218" s="5"/>
      <c r="K218" s="5"/>
      <c r="L218" s="5"/>
      <c r="M218" s="5"/>
      <c r="N218" s="5"/>
      <c r="S218" s="5"/>
      <c r="T218" s="5"/>
      <c r="U218" s="5"/>
      <c r="V218" s="5"/>
      <c r="X218" s="4"/>
      <c r="Y218" s="4"/>
      <c r="Z218" s="4"/>
      <c r="AA218" s="4"/>
      <c r="AB218" s="4"/>
      <c r="AC218" s="4"/>
      <c r="AD218" s="4"/>
      <c r="AE218" s="4"/>
      <c r="AF218" s="4"/>
      <c r="AG218" s="4"/>
    </row>
    <row r="219" spans="1:33" x14ac:dyDescent="0.2">
      <c r="A219" s="5"/>
      <c r="B219" s="5"/>
      <c r="C219" s="5"/>
      <c r="D219" s="6"/>
      <c r="E219" s="5"/>
      <c r="F219" s="5"/>
      <c r="G219" s="5"/>
      <c r="H219" s="5"/>
      <c r="I219" s="5"/>
      <c r="J219" s="5"/>
      <c r="K219" s="5"/>
      <c r="L219" s="5"/>
      <c r="M219" s="5"/>
      <c r="N219" s="5"/>
      <c r="S219" s="5"/>
      <c r="T219" s="5"/>
      <c r="U219" s="5"/>
      <c r="V219" s="5"/>
      <c r="X219" s="4"/>
      <c r="Y219" s="4"/>
      <c r="Z219" s="4"/>
      <c r="AA219" s="4"/>
      <c r="AB219" s="4"/>
      <c r="AC219" s="4"/>
      <c r="AD219" s="4"/>
      <c r="AE219" s="4"/>
      <c r="AF219" s="4"/>
      <c r="AG219" s="4"/>
    </row>
    <row r="220" spans="1:33" x14ac:dyDescent="0.2">
      <c r="A220" s="5"/>
      <c r="B220" s="5"/>
      <c r="C220" s="5"/>
      <c r="D220" s="6"/>
      <c r="E220" s="5"/>
      <c r="F220" s="5"/>
      <c r="G220" s="5"/>
      <c r="H220" s="5"/>
      <c r="I220" s="5"/>
      <c r="J220" s="5"/>
      <c r="K220" s="5"/>
      <c r="L220" s="5"/>
      <c r="M220" s="5"/>
      <c r="N220" s="5"/>
      <c r="S220" s="5"/>
      <c r="T220" s="5"/>
      <c r="U220" s="5"/>
      <c r="V220" s="5"/>
      <c r="X220" s="4"/>
      <c r="Y220" s="4"/>
      <c r="Z220" s="4"/>
      <c r="AA220" s="4"/>
      <c r="AB220" s="4"/>
      <c r="AC220" s="4"/>
      <c r="AD220" s="4"/>
      <c r="AE220" s="4"/>
      <c r="AF220" s="4"/>
      <c r="AG220" s="4"/>
    </row>
    <row r="221" spans="1:33" x14ac:dyDescent="0.2">
      <c r="A221" s="5"/>
      <c r="B221" s="5"/>
      <c r="C221" s="5"/>
      <c r="D221" s="6"/>
      <c r="E221" s="5"/>
      <c r="F221" s="5"/>
      <c r="G221" s="5"/>
      <c r="H221" s="5"/>
      <c r="I221" s="5"/>
      <c r="J221" s="5"/>
      <c r="K221" s="5"/>
      <c r="L221" s="5"/>
      <c r="M221" s="5"/>
      <c r="N221" s="5"/>
      <c r="S221" s="5"/>
      <c r="T221" s="5"/>
      <c r="U221" s="5"/>
      <c r="V221" s="5"/>
      <c r="X221" s="4"/>
      <c r="Y221" s="4"/>
      <c r="Z221" s="4"/>
      <c r="AA221" s="4"/>
      <c r="AB221" s="4"/>
      <c r="AC221" s="4"/>
      <c r="AD221" s="4"/>
      <c r="AE221" s="4"/>
      <c r="AF221" s="4"/>
      <c r="AG221" s="4"/>
    </row>
    <row r="222" spans="1:33" ht="30" customHeight="1" x14ac:dyDescent="0.2">
      <c r="A222" s="5"/>
      <c r="B222" s="5"/>
      <c r="C222" s="5"/>
      <c r="D222" s="6"/>
      <c r="E222" s="5"/>
      <c r="F222" s="5"/>
      <c r="G222" s="5"/>
      <c r="H222" s="5"/>
      <c r="I222" s="5"/>
      <c r="J222" s="5"/>
      <c r="K222" s="5"/>
      <c r="L222" s="5"/>
      <c r="M222" s="5"/>
      <c r="N222" s="5"/>
      <c r="S222" s="5"/>
      <c r="T222" s="5"/>
      <c r="U222" s="5"/>
      <c r="V222" s="5"/>
      <c r="X222" s="4"/>
      <c r="Y222" s="4"/>
      <c r="Z222" s="4"/>
      <c r="AA222" s="4"/>
      <c r="AB222" s="4"/>
      <c r="AC222" s="4"/>
      <c r="AD222" s="4"/>
      <c r="AE222" s="4"/>
      <c r="AF222" s="4"/>
      <c r="AG222" s="4"/>
    </row>
    <row r="223" spans="1:33" x14ac:dyDescent="0.2">
      <c r="A223" s="5"/>
      <c r="B223" s="5"/>
      <c r="C223" s="5"/>
      <c r="D223" s="6"/>
      <c r="E223" s="5"/>
      <c r="F223" s="5"/>
      <c r="G223" s="5"/>
      <c r="H223" s="5"/>
      <c r="I223" s="5"/>
      <c r="J223" s="5"/>
      <c r="K223" s="5"/>
      <c r="L223" s="5"/>
      <c r="M223" s="5"/>
      <c r="N223" s="5"/>
      <c r="S223" s="5"/>
      <c r="T223" s="5"/>
      <c r="U223" s="5"/>
      <c r="V223" s="5"/>
      <c r="X223" s="4"/>
      <c r="Y223" s="4"/>
      <c r="Z223" s="4"/>
      <c r="AA223" s="4"/>
      <c r="AB223" s="4"/>
      <c r="AC223" s="4"/>
      <c r="AD223" s="4"/>
      <c r="AE223" s="4"/>
      <c r="AF223" s="4"/>
      <c r="AG223" s="4"/>
    </row>
    <row r="224" spans="1:33" x14ac:dyDescent="0.2">
      <c r="A224" s="5"/>
      <c r="B224" s="5"/>
      <c r="C224" s="5"/>
      <c r="D224" s="6"/>
      <c r="E224" s="5"/>
      <c r="F224" s="5"/>
      <c r="G224" s="5"/>
      <c r="H224" s="5"/>
      <c r="I224" s="5"/>
      <c r="J224" s="5"/>
      <c r="K224" s="5"/>
      <c r="L224" s="5"/>
      <c r="M224" s="5"/>
      <c r="N224" s="5"/>
      <c r="S224" s="5"/>
      <c r="T224" s="5"/>
      <c r="U224" s="5"/>
      <c r="V224" s="5"/>
      <c r="X224" s="4"/>
      <c r="Y224" s="4"/>
      <c r="Z224" s="4"/>
      <c r="AA224" s="4"/>
      <c r="AB224" s="4"/>
      <c r="AC224" s="4"/>
      <c r="AD224" s="4"/>
      <c r="AE224" s="4"/>
      <c r="AF224" s="4"/>
      <c r="AG224" s="4"/>
    </row>
    <row r="225" spans="1:33" x14ac:dyDescent="0.2">
      <c r="A225" s="5"/>
      <c r="B225" s="5"/>
      <c r="C225" s="5"/>
      <c r="D225" s="6"/>
      <c r="E225" s="5"/>
      <c r="F225" s="5"/>
      <c r="G225" s="5"/>
      <c r="H225" s="5"/>
      <c r="I225" s="5"/>
      <c r="J225" s="5"/>
      <c r="K225" s="5"/>
      <c r="L225" s="5"/>
      <c r="M225" s="5"/>
      <c r="N225" s="5"/>
      <c r="S225" s="5"/>
      <c r="T225" s="5"/>
      <c r="U225" s="5"/>
      <c r="V225" s="5"/>
      <c r="X225" s="4"/>
      <c r="Y225" s="4"/>
      <c r="Z225" s="4"/>
      <c r="AA225" s="4"/>
      <c r="AB225" s="4"/>
      <c r="AC225" s="4"/>
      <c r="AD225" s="4"/>
      <c r="AE225" s="4"/>
      <c r="AF225" s="4"/>
      <c r="AG225" s="4"/>
    </row>
    <row r="226" spans="1:33" x14ac:dyDescent="0.2">
      <c r="A226" s="5"/>
      <c r="B226" s="5"/>
      <c r="C226" s="5"/>
      <c r="D226" s="6"/>
      <c r="E226" s="5"/>
      <c r="F226" s="5"/>
      <c r="G226" s="5"/>
      <c r="H226" s="5"/>
      <c r="I226" s="5"/>
      <c r="J226" s="5"/>
      <c r="K226" s="5"/>
      <c r="L226" s="5"/>
      <c r="M226" s="5"/>
      <c r="N226" s="5"/>
      <c r="S226" s="5"/>
      <c r="T226" s="5"/>
      <c r="U226" s="5"/>
      <c r="V226" s="5"/>
      <c r="X226" s="4"/>
      <c r="Y226" s="4"/>
      <c r="Z226" s="4"/>
      <c r="AA226" s="4"/>
      <c r="AB226" s="4"/>
      <c r="AC226" s="4"/>
      <c r="AD226" s="4"/>
      <c r="AE226" s="4"/>
      <c r="AF226" s="4"/>
      <c r="AG226" s="4"/>
    </row>
    <row r="227" spans="1:33" ht="30" customHeight="1" x14ac:dyDescent="0.2">
      <c r="A227" s="5"/>
      <c r="B227" s="5"/>
      <c r="C227" s="5"/>
      <c r="D227" s="6"/>
      <c r="E227" s="5"/>
      <c r="F227" s="5"/>
      <c r="G227" s="5"/>
      <c r="H227" s="5"/>
      <c r="I227" s="5"/>
      <c r="J227" s="5"/>
      <c r="K227" s="5"/>
      <c r="L227" s="5"/>
      <c r="M227" s="5"/>
      <c r="N227" s="5"/>
      <c r="S227" s="5"/>
      <c r="T227" s="5"/>
      <c r="U227" s="5"/>
      <c r="V227" s="5"/>
      <c r="X227" s="4"/>
      <c r="Y227" s="4"/>
      <c r="Z227" s="4"/>
      <c r="AA227" s="4"/>
      <c r="AB227" s="4"/>
      <c r="AC227" s="4"/>
      <c r="AD227" s="4"/>
      <c r="AE227" s="4"/>
      <c r="AF227" s="4"/>
      <c r="AG227" s="4"/>
    </row>
    <row r="228" spans="1:33" x14ac:dyDescent="0.2">
      <c r="A228" s="5"/>
      <c r="B228" s="5"/>
      <c r="C228" s="5"/>
      <c r="D228" s="6"/>
      <c r="E228" s="5"/>
      <c r="F228" s="5"/>
      <c r="G228" s="5"/>
      <c r="H228" s="5"/>
      <c r="I228" s="5"/>
      <c r="J228" s="5"/>
      <c r="K228" s="5"/>
      <c r="L228" s="5"/>
      <c r="M228" s="5"/>
      <c r="N228" s="5"/>
      <c r="S228" s="5"/>
      <c r="T228" s="5"/>
      <c r="U228" s="5"/>
      <c r="V228" s="5"/>
      <c r="X228" s="4"/>
      <c r="Y228" s="4"/>
      <c r="Z228" s="4"/>
      <c r="AA228" s="4"/>
      <c r="AB228" s="4"/>
      <c r="AC228" s="4"/>
      <c r="AD228" s="4"/>
      <c r="AE228" s="4"/>
      <c r="AF228" s="4"/>
      <c r="AG228" s="4"/>
    </row>
    <row r="229" spans="1:33" ht="30" customHeight="1" x14ac:dyDescent="0.2">
      <c r="A229" s="5"/>
      <c r="B229" s="5"/>
      <c r="C229" s="5"/>
      <c r="D229" s="6"/>
      <c r="E229" s="5"/>
      <c r="F229" s="5"/>
      <c r="G229" s="5"/>
      <c r="H229" s="5"/>
      <c r="I229" s="5"/>
      <c r="J229" s="5"/>
      <c r="K229" s="5"/>
      <c r="L229" s="5"/>
      <c r="M229" s="5"/>
      <c r="N229" s="5"/>
      <c r="S229" s="5"/>
      <c r="T229" s="5"/>
      <c r="U229" s="5"/>
      <c r="V229" s="5"/>
      <c r="X229" s="4"/>
      <c r="Y229" s="4"/>
      <c r="Z229" s="4"/>
      <c r="AA229" s="4"/>
      <c r="AB229" s="4"/>
      <c r="AC229" s="4"/>
      <c r="AD229" s="4"/>
      <c r="AE229" s="4"/>
      <c r="AF229" s="4"/>
      <c r="AG229" s="4"/>
    </row>
    <row r="230" spans="1:33" x14ac:dyDescent="0.2">
      <c r="A230" s="5"/>
      <c r="B230" s="5"/>
      <c r="C230" s="5"/>
      <c r="D230" s="6"/>
      <c r="E230" s="5"/>
      <c r="F230" s="5"/>
      <c r="G230" s="5"/>
      <c r="H230" s="5"/>
      <c r="I230" s="5"/>
      <c r="J230" s="5"/>
      <c r="K230" s="5"/>
      <c r="L230" s="5"/>
      <c r="M230" s="5"/>
      <c r="N230" s="5"/>
      <c r="S230" s="5"/>
      <c r="T230" s="5"/>
      <c r="U230" s="5"/>
      <c r="V230" s="5"/>
      <c r="X230" s="4"/>
      <c r="Y230" s="4"/>
      <c r="Z230" s="4"/>
      <c r="AA230" s="4"/>
      <c r="AB230" s="4"/>
      <c r="AC230" s="4"/>
      <c r="AD230" s="4"/>
      <c r="AE230" s="4"/>
      <c r="AF230" s="4"/>
      <c r="AG230" s="4"/>
    </row>
    <row r="231" spans="1:33" x14ac:dyDescent="0.2">
      <c r="A231" s="5"/>
      <c r="B231" s="5"/>
      <c r="C231" s="5"/>
      <c r="D231" s="6"/>
      <c r="E231" s="5"/>
      <c r="F231" s="5"/>
      <c r="G231" s="5"/>
      <c r="H231" s="5"/>
      <c r="I231" s="5"/>
      <c r="J231" s="5"/>
      <c r="K231" s="5"/>
      <c r="L231" s="5"/>
      <c r="M231" s="5"/>
      <c r="N231" s="5"/>
      <c r="S231" s="5"/>
      <c r="T231" s="5"/>
      <c r="U231" s="5"/>
      <c r="V231" s="5"/>
      <c r="X231" s="4"/>
      <c r="Y231" s="4"/>
      <c r="Z231" s="4"/>
      <c r="AA231" s="4"/>
      <c r="AB231" s="4"/>
      <c r="AC231" s="4"/>
      <c r="AD231" s="4"/>
      <c r="AE231" s="4"/>
      <c r="AF231" s="4"/>
      <c r="AG231" s="4"/>
    </row>
    <row r="232" spans="1:33" ht="30" customHeight="1" x14ac:dyDescent="0.2">
      <c r="A232" s="5"/>
      <c r="B232" s="5"/>
      <c r="C232" s="5"/>
      <c r="D232" s="6"/>
      <c r="E232" s="5"/>
      <c r="F232" s="5"/>
      <c r="G232" s="5"/>
      <c r="H232" s="5"/>
      <c r="I232" s="5"/>
      <c r="J232" s="5"/>
      <c r="K232" s="5"/>
      <c r="L232" s="5"/>
      <c r="M232" s="5"/>
      <c r="N232" s="5"/>
      <c r="S232" s="5"/>
      <c r="T232" s="5"/>
      <c r="U232" s="5"/>
      <c r="V232" s="5"/>
      <c r="X232" s="4"/>
      <c r="Y232" s="4"/>
      <c r="Z232" s="4"/>
      <c r="AA232" s="4"/>
      <c r="AB232" s="4"/>
      <c r="AC232" s="4"/>
      <c r="AD232" s="4"/>
      <c r="AE232" s="4"/>
      <c r="AF232" s="4"/>
      <c r="AG232" s="4"/>
    </row>
    <row r="233" spans="1:33" x14ac:dyDescent="0.2">
      <c r="A233" s="5"/>
      <c r="B233" s="5"/>
      <c r="C233" s="5"/>
      <c r="D233" s="6"/>
      <c r="E233" s="5"/>
      <c r="F233" s="5"/>
      <c r="G233" s="5"/>
      <c r="H233" s="5"/>
      <c r="I233" s="5"/>
      <c r="J233" s="5"/>
      <c r="K233" s="5"/>
      <c r="L233" s="5"/>
      <c r="M233" s="5"/>
      <c r="N233" s="5"/>
      <c r="S233" s="5"/>
      <c r="T233" s="5"/>
      <c r="U233" s="5"/>
      <c r="V233" s="5"/>
      <c r="X233" s="4"/>
      <c r="Y233" s="4"/>
      <c r="Z233" s="4"/>
      <c r="AA233" s="4"/>
      <c r="AB233" s="4"/>
      <c r="AC233" s="4"/>
      <c r="AD233" s="4"/>
      <c r="AE233" s="4"/>
      <c r="AF233" s="4"/>
      <c r="AG233" s="4"/>
    </row>
    <row r="234" spans="1:33" x14ac:dyDescent="0.2">
      <c r="A234" s="5"/>
      <c r="B234" s="5"/>
      <c r="C234" s="5"/>
      <c r="D234" s="6"/>
      <c r="E234" s="5"/>
      <c r="F234" s="5"/>
      <c r="G234" s="5"/>
      <c r="H234" s="5"/>
      <c r="I234" s="5"/>
      <c r="J234" s="5"/>
      <c r="K234" s="5"/>
      <c r="L234" s="5"/>
      <c r="M234" s="5"/>
      <c r="N234" s="5"/>
      <c r="S234" s="5"/>
      <c r="T234" s="5"/>
      <c r="U234" s="5"/>
      <c r="V234" s="5"/>
      <c r="X234" s="4"/>
      <c r="Y234" s="4"/>
      <c r="Z234" s="4"/>
      <c r="AA234" s="4"/>
      <c r="AB234" s="4"/>
      <c r="AC234" s="4"/>
      <c r="AD234" s="4"/>
      <c r="AE234" s="4"/>
      <c r="AF234" s="4"/>
      <c r="AG234" s="4"/>
    </row>
    <row r="235" spans="1:33" x14ac:dyDescent="0.2">
      <c r="A235" s="5"/>
      <c r="B235" s="5"/>
      <c r="C235" s="5"/>
      <c r="D235" s="6"/>
      <c r="E235" s="5"/>
      <c r="F235" s="5"/>
      <c r="G235" s="5"/>
      <c r="H235" s="5"/>
      <c r="I235" s="5"/>
      <c r="J235" s="5"/>
      <c r="K235" s="5"/>
      <c r="L235" s="5"/>
      <c r="M235" s="5"/>
      <c r="N235" s="5"/>
      <c r="S235" s="5"/>
      <c r="T235" s="5"/>
      <c r="U235" s="5"/>
      <c r="V235" s="5"/>
      <c r="X235" s="4"/>
      <c r="Y235" s="4"/>
      <c r="Z235" s="4"/>
      <c r="AA235" s="4"/>
      <c r="AB235" s="4"/>
      <c r="AC235" s="4"/>
      <c r="AD235" s="4"/>
      <c r="AE235" s="4"/>
      <c r="AF235" s="4"/>
      <c r="AG235" s="4"/>
    </row>
    <row r="236" spans="1:33" x14ac:dyDescent="0.2">
      <c r="A236" s="5"/>
      <c r="B236" s="5"/>
      <c r="C236" s="5"/>
      <c r="D236" s="6"/>
      <c r="E236" s="5"/>
      <c r="F236" s="5"/>
      <c r="G236" s="5"/>
      <c r="H236" s="5"/>
      <c r="I236" s="5"/>
      <c r="J236" s="5"/>
      <c r="K236" s="5"/>
      <c r="L236" s="5"/>
      <c r="M236" s="5"/>
      <c r="N236" s="5"/>
      <c r="S236" s="5"/>
      <c r="T236" s="5"/>
      <c r="U236" s="5"/>
      <c r="V236" s="5"/>
      <c r="X236" s="4"/>
      <c r="Y236" s="4"/>
      <c r="Z236" s="4"/>
      <c r="AA236" s="4"/>
      <c r="AB236" s="4"/>
      <c r="AC236" s="4"/>
      <c r="AD236" s="4"/>
      <c r="AE236" s="4"/>
      <c r="AF236" s="4"/>
      <c r="AG236" s="4"/>
    </row>
    <row r="237" spans="1:33" x14ac:dyDescent="0.2">
      <c r="A237" s="5"/>
      <c r="B237" s="5"/>
      <c r="C237" s="5"/>
      <c r="D237" s="6"/>
      <c r="E237" s="5"/>
      <c r="F237" s="5"/>
      <c r="G237" s="5"/>
      <c r="H237" s="5"/>
      <c r="I237" s="5"/>
      <c r="J237" s="5"/>
      <c r="K237" s="5"/>
      <c r="L237" s="5"/>
      <c r="M237" s="5"/>
      <c r="N237" s="5"/>
      <c r="S237" s="5"/>
      <c r="T237" s="5"/>
      <c r="U237" s="5"/>
      <c r="V237" s="5"/>
    </row>
    <row r="238" spans="1:33" x14ac:dyDescent="0.2">
      <c r="A238" s="5"/>
      <c r="B238" s="5"/>
      <c r="C238" s="5"/>
      <c r="D238" s="6"/>
      <c r="E238" s="5"/>
      <c r="F238" s="5"/>
      <c r="G238" s="5"/>
      <c r="H238" s="5"/>
      <c r="I238" s="5"/>
      <c r="J238" s="5"/>
      <c r="K238" s="5"/>
      <c r="L238" s="5"/>
      <c r="M238" s="5"/>
      <c r="N238" s="5"/>
      <c r="S238" s="5"/>
      <c r="T238" s="5"/>
      <c r="U238" s="5"/>
      <c r="V238" s="5"/>
    </row>
    <row r="239" spans="1:33" x14ac:dyDescent="0.2">
      <c r="A239" s="5"/>
      <c r="B239" s="5"/>
      <c r="C239" s="5"/>
      <c r="D239" s="6"/>
      <c r="E239" s="5"/>
      <c r="F239" s="5"/>
      <c r="G239" s="5"/>
      <c r="H239" s="5"/>
      <c r="I239" s="5"/>
      <c r="J239" s="5"/>
      <c r="K239" s="5"/>
      <c r="L239" s="5"/>
      <c r="M239" s="5"/>
      <c r="N239" s="5"/>
      <c r="S239" s="5"/>
      <c r="T239" s="5"/>
      <c r="U239" s="5"/>
      <c r="V239" s="5"/>
    </row>
    <row r="240" spans="1:33" x14ac:dyDescent="0.2">
      <c r="A240" s="5"/>
      <c r="B240" s="5"/>
      <c r="C240" s="5"/>
      <c r="D240" s="6"/>
      <c r="E240" s="5"/>
      <c r="F240" s="5"/>
      <c r="G240" s="5"/>
      <c r="H240" s="5"/>
      <c r="I240" s="5"/>
      <c r="J240" s="5"/>
      <c r="K240" s="5"/>
      <c r="L240" s="5"/>
      <c r="M240" s="5"/>
      <c r="N240" s="5"/>
      <c r="S240" s="5"/>
      <c r="T240" s="5"/>
      <c r="U240" s="5"/>
      <c r="V240" s="5"/>
    </row>
    <row r="241" spans="1:22" x14ac:dyDescent="0.2">
      <c r="A241" s="5"/>
      <c r="B241" s="5"/>
      <c r="C241" s="5"/>
      <c r="D241" s="6"/>
      <c r="E241" s="5"/>
      <c r="F241" s="5"/>
      <c r="G241" s="5"/>
      <c r="H241" s="5"/>
      <c r="I241" s="5"/>
      <c r="J241" s="5"/>
      <c r="K241" s="5"/>
      <c r="L241" s="5"/>
      <c r="M241" s="5"/>
      <c r="N241" s="5"/>
      <c r="S241" s="5"/>
      <c r="T241" s="5"/>
      <c r="U241" s="5"/>
      <c r="V241" s="5"/>
    </row>
    <row r="242" spans="1:22" x14ac:dyDescent="0.2">
      <c r="A242" s="5"/>
      <c r="B242" s="5"/>
      <c r="C242" s="5"/>
      <c r="D242" s="6"/>
      <c r="E242" s="5"/>
      <c r="F242" s="5"/>
      <c r="G242" s="5"/>
      <c r="H242" s="5"/>
      <c r="I242" s="5"/>
      <c r="J242" s="5"/>
      <c r="K242" s="5"/>
      <c r="L242" s="5"/>
      <c r="M242" s="5"/>
      <c r="N242" s="5"/>
      <c r="S242" s="5"/>
      <c r="T242" s="5"/>
      <c r="U242" s="5"/>
      <c r="V242" s="5"/>
    </row>
    <row r="243" spans="1:22" x14ac:dyDescent="0.2">
      <c r="A243" s="5"/>
      <c r="B243" s="5"/>
      <c r="C243" s="5"/>
      <c r="D243" s="6"/>
      <c r="E243" s="5"/>
      <c r="F243" s="5"/>
      <c r="G243" s="5"/>
      <c r="H243" s="5"/>
      <c r="I243" s="5"/>
      <c r="J243" s="5"/>
      <c r="K243" s="5"/>
      <c r="L243" s="5"/>
      <c r="M243" s="5"/>
      <c r="N243" s="5"/>
      <c r="S243" s="5"/>
      <c r="T243" s="5"/>
      <c r="U243" s="5"/>
      <c r="V243" s="5"/>
    </row>
    <row r="244" spans="1:22" x14ac:dyDescent="0.2">
      <c r="A244" s="5"/>
      <c r="B244" s="5"/>
      <c r="C244" s="5"/>
      <c r="D244" s="6"/>
      <c r="E244" s="5"/>
      <c r="F244" s="5"/>
      <c r="G244" s="5"/>
      <c r="H244" s="5"/>
      <c r="I244" s="5"/>
      <c r="J244" s="5"/>
      <c r="K244" s="5"/>
      <c r="L244" s="5"/>
      <c r="M244" s="5"/>
      <c r="N244" s="5"/>
      <c r="S244" s="5"/>
      <c r="T244" s="5"/>
      <c r="U244" s="5"/>
      <c r="V244" s="5"/>
    </row>
    <row r="245" spans="1:22" x14ac:dyDescent="0.2">
      <c r="A245" s="5"/>
      <c r="B245" s="5"/>
      <c r="C245" s="5"/>
      <c r="D245" s="6"/>
      <c r="E245" s="5"/>
      <c r="F245" s="5"/>
      <c r="G245" s="5"/>
      <c r="H245" s="5"/>
      <c r="I245" s="5"/>
      <c r="J245" s="5"/>
      <c r="K245" s="5"/>
      <c r="L245" s="5"/>
      <c r="M245" s="5"/>
      <c r="N245" s="5"/>
      <c r="S245" s="5"/>
      <c r="T245" s="5"/>
      <c r="U245" s="5"/>
      <c r="V245" s="5"/>
    </row>
    <row r="246" spans="1:22" x14ac:dyDescent="0.2">
      <c r="A246" s="5"/>
      <c r="B246" s="5"/>
      <c r="C246" s="5"/>
      <c r="D246" s="6"/>
      <c r="E246" s="5"/>
      <c r="F246" s="5"/>
      <c r="G246" s="5"/>
      <c r="H246" s="5"/>
      <c r="I246" s="5"/>
      <c r="J246" s="5"/>
      <c r="K246" s="5"/>
      <c r="L246" s="5"/>
      <c r="M246" s="5"/>
      <c r="N246" s="5"/>
      <c r="S246" s="5"/>
      <c r="T246" s="5"/>
      <c r="U246" s="5"/>
      <c r="V246" s="5"/>
    </row>
    <row r="247" spans="1:22" x14ac:dyDescent="0.2">
      <c r="A247" s="5"/>
      <c r="B247" s="5"/>
      <c r="C247" s="5"/>
      <c r="D247" s="6"/>
      <c r="E247" s="5"/>
      <c r="F247" s="5"/>
      <c r="G247" s="5"/>
      <c r="H247" s="5"/>
      <c r="I247" s="5"/>
      <c r="J247" s="5"/>
      <c r="K247" s="5"/>
      <c r="L247" s="5"/>
      <c r="M247" s="5"/>
      <c r="N247" s="5"/>
      <c r="S247" s="5"/>
      <c r="T247" s="5"/>
      <c r="U247" s="5"/>
      <c r="V247" s="5"/>
    </row>
    <row r="248" spans="1:22" x14ac:dyDescent="0.2">
      <c r="A248" s="5"/>
      <c r="B248" s="5"/>
      <c r="C248" s="5"/>
      <c r="D248" s="6"/>
      <c r="E248" s="5"/>
      <c r="F248" s="5"/>
      <c r="G248" s="5"/>
      <c r="H248" s="5"/>
      <c r="I248" s="5"/>
      <c r="J248" s="5"/>
      <c r="K248" s="5"/>
      <c r="L248" s="5"/>
      <c r="M248" s="5"/>
      <c r="N248" s="5"/>
      <c r="S248" s="5"/>
      <c r="T248" s="5"/>
      <c r="U248" s="5"/>
      <c r="V248" s="5"/>
    </row>
    <row r="249" spans="1:22" x14ac:dyDescent="0.2">
      <c r="A249" s="5"/>
      <c r="B249" s="5"/>
      <c r="C249" s="5"/>
      <c r="D249" s="6"/>
      <c r="E249" s="5"/>
      <c r="F249" s="5"/>
      <c r="G249" s="5"/>
      <c r="H249" s="5"/>
      <c r="I249" s="5"/>
      <c r="J249" s="5"/>
      <c r="K249" s="5"/>
      <c r="L249" s="5"/>
      <c r="M249" s="5"/>
      <c r="N249" s="5"/>
      <c r="S249" s="5"/>
      <c r="T249" s="5"/>
      <c r="U249" s="5"/>
      <c r="V249" s="5"/>
    </row>
    <row r="250" spans="1:22" x14ac:dyDescent="0.2">
      <c r="A250" s="5"/>
      <c r="B250" s="5"/>
      <c r="C250" s="5"/>
      <c r="D250" s="6"/>
      <c r="E250" s="5"/>
      <c r="F250" s="5"/>
      <c r="G250" s="5"/>
      <c r="H250" s="5"/>
      <c r="I250" s="5"/>
      <c r="J250" s="5"/>
      <c r="K250" s="5"/>
      <c r="L250" s="5"/>
      <c r="M250" s="5"/>
      <c r="N250" s="5"/>
      <c r="S250" s="5"/>
      <c r="T250" s="5"/>
      <c r="U250" s="5"/>
      <c r="V250" s="5"/>
    </row>
    <row r="251" spans="1:22" x14ac:dyDescent="0.2">
      <c r="A251" s="5"/>
      <c r="B251" s="5"/>
      <c r="C251" s="5"/>
      <c r="D251" s="6"/>
      <c r="E251" s="5"/>
      <c r="F251" s="5"/>
      <c r="G251" s="5"/>
      <c r="H251" s="5"/>
      <c r="I251" s="5"/>
      <c r="J251" s="5"/>
      <c r="K251" s="5"/>
      <c r="L251" s="5"/>
      <c r="M251" s="5"/>
      <c r="N251" s="5"/>
      <c r="S251" s="5"/>
      <c r="T251" s="5"/>
      <c r="U251" s="5"/>
      <c r="V251" s="5"/>
    </row>
    <row r="252" spans="1:22" x14ac:dyDescent="0.2">
      <c r="A252" s="5"/>
      <c r="B252" s="5"/>
      <c r="C252" s="5"/>
      <c r="D252" s="6"/>
      <c r="E252" s="5"/>
      <c r="F252" s="5"/>
      <c r="G252" s="5"/>
      <c r="H252" s="5"/>
      <c r="I252" s="5"/>
      <c r="J252" s="5"/>
      <c r="K252" s="5"/>
      <c r="L252" s="5"/>
      <c r="M252" s="5"/>
      <c r="N252" s="5"/>
      <c r="S252" s="5"/>
      <c r="T252" s="5"/>
      <c r="U252" s="5"/>
      <c r="V252" s="5"/>
    </row>
    <row r="253" spans="1:22" x14ac:dyDescent="0.2">
      <c r="A253" s="5"/>
      <c r="B253" s="5"/>
      <c r="C253" s="5"/>
      <c r="D253" s="6"/>
      <c r="E253" s="5"/>
      <c r="F253" s="5"/>
      <c r="G253" s="5"/>
      <c r="H253" s="5"/>
      <c r="I253" s="5"/>
      <c r="J253" s="5"/>
      <c r="K253" s="5"/>
      <c r="L253" s="5"/>
      <c r="M253" s="5"/>
      <c r="N253" s="5"/>
      <c r="S253" s="5"/>
      <c r="T253" s="5"/>
      <c r="U253" s="5"/>
      <c r="V253" s="5"/>
    </row>
    <row r="254" spans="1:22" x14ac:dyDescent="0.2">
      <c r="A254" s="5"/>
      <c r="B254" s="5"/>
      <c r="C254" s="5"/>
      <c r="D254" s="6"/>
      <c r="E254" s="5"/>
      <c r="F254" s="5"/>
      <c r="G254" s="5"/>
      <c r="H254" s="5"/>
      <c r="I254" s="5"/>
      <c r="J254" s="5"/>
      <c r="K254" s="5"/>
      <c r="L254" s="5"/>
      <c r="M254" s="5"/>
      <c r="N254" s="5"/>
      <c r="S254" s="5"/>
      <c r="T254" s="5"/>
      <c r="U254" s="5"/>
      <c r="V254" s="5"/>
    </row>
    <row r="255" spans="1:22" x14ac:dyDescent="0.2">
      <c r="A255" s="5"/>
      <c r="B255" s="5"/>
      <c r="C255" s="5"/>
      <c r="D255" s="6"/>
      <c r="E255" s="5"/>
      <c r="F255" s="5"/>
      <c r="G255" s="5"/>
      <c r="H255" s="5"/>
      <c r="I255" s="5"/>
      <c r="J255" s="5"/>
      <c r="K255" s="5"/>
      <c r="L255" s="5"/>
      <c r="M255" s="5"/>
      <c r="N255" s="5"/>
      <c r="S255" s="5"/>
      <c r="T255" s="5"/>
      <c r="U255" s="5"/>
      <c r="V255" s="5"/>
    </row>
    <row r="256" spans="1:22" x14ac:dyDescent="0.2">
      <c r="A256" s="5"/>
      <c r="B256" s="5"/>
      <c r="C256" s="5"/>
      <c r="D256" s="6"/>
      <c r="E256" s="5"/>
      <c r="F256" s="5"/>
      <c r="G256" s="5"/>
      <c r="H256" s="5"/>
      <c r="I256" s="5"/>
      <c r="J256" s="5"/>
      <c r="K256" s="5"/>
      <c r="L256" s="5"/>
      <c r="M256" s="5"/>
      <c r="N256" s="5"/>
      <c r="S256" s="5"/>
      <c r="T256" s="5"/>
      <c r="U256" s="5"/>
      <c r="V256" s="5"/>
    </row>
  </sheetData>
  <autoFilter ref="A1:AK183" xr:uid="{00000000-0009-0000-0000-000000000000}"/>
  <conditionalFormatting sqref="AH1:AH1048576">
    <cfRule type="cellIs" dxfId="9" priority="6" operator="equal">
      <formula>"Por Iniciar"</formula>
    </cfRule>
    <cfRule type="cellIs" dxfId="8" priority="7" operator="equal">
      <formula>"Resuelto"</formula>
    </cfRule>
    <cfRule type="cellIs" dxfId="7" priority="8" operator="equal">
      <formula>"A"</formula>
    </cfRule>
    <cfRule type="cellIs" dxfId="6" priority="9" operator="equal">
      <formula>"V"</formula>
    </cfRule>
    <cfRule type="cellIs" dxfId="5" priority="10" operator="equal">
      <formula>"R"</formula>
    </cfRule>
  </conditionalFormatting>
  <conditionalFormatting sqref="AJ1">
    <cfRule type="cellIs" dxfId="4" priority="12" operator="equal">
      <formula>"Por Iniciar"</formula>
    </cfRule>
    <cfRule type="cellIs" dxfId="3" priority="13" operator="equal">
      <formula>"Resuelto"</formula>
    </cfRule>
    <cfRule type="cellIs" dxfId="2" priority="14" operator="equal">
      <formula>"A"</formula>
    </cfRule>
    <cfRule type="cellIs" dxfId="1" priority="15" operator="equal">
      <formula>"V"</formula>
    </cfRule>
    <cfRule type="cellIs" dxfId="0" priority="16" operator="equal">
      <formula>"R"</formula>
    </cfRule>
  </conditionalFormatting>
  <pageMargins left="0.7" right="0.7" top="0.75" bottom="0.75" header="0.3" footer="0.3"/>
  <pageSetup scale="69" orientation="portrait" r:id="rId1"/>
  <colBreaks count="1" manualBreakCount="1">
    <brk id="24" max="151"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659</dc:creator>
  <cp:lastModifiedBy>Fernando Cortes Vela</cp:lastModifiedBy>
  <cp:lastPrinted>2015-03-04T20:12:44Z</cp:lastPrinted>
  <dcterms:created xsi:type="dcterms:W3CDTF">2015-02-05T19:19:09Z</dcterms:created>
  <dcterms:modified xsi:type="dcterms:W3CDTF">2025-12-02T23:41:04Z</dcterms:modified>
</cp:coreProperties>
</file>